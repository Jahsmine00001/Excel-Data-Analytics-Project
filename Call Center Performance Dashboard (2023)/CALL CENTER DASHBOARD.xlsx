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hidePivotFieldList="1"/>
  <mc:AlternateContent xmlns:mc="http://schemas.openxmlformats.org/markup-compatibility/2006">
    <mc:Choice Requires="x15">
      <x15ac:absPath xmlns:x15ac="http://schemas.microsoft.com/office/spreadsheetml/2010/11/ac" url="D:\videos\chandoo\4-hour-course-xl-files\"/>
    </mc:Choice>
  </mc:AlternateContent>
  <xr:revisionPtr revIDLastSave="0" documentId="13_ncr:1_{A09CB9B9-C8FB-496C-8616-8DE7AD55C785}" xr6:coauthVersionLast="47" xr6:coauthVersionMax="47" xr10:uidLastSave="{00000000-0000-0000-0000-000000000000}"/>
  <bookViews>
    <workbookView xWindow="-120" yWindow="-120" windowWidth="20730" windowHeight="11310" activeTab="3" xr2:uid="{26D4546B-D2A1-4444-8EAF-A6228F96F0C1}"/>
  </bookViews>
  <sheets>
    <sheet name="Data" sheetId="2" r:id="rId1"/>
    <sheet name="Pivots" sheetId="6" r:id="rId2"/>
    <sheet name="Customer Center Report" sheetId="5" r:id="rId3"/>
    <sheet name="Assets" sheetId="4"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6" l="1"/>
  <c r="N29" i="5" s="1"/>
  <c r="F39" i="6"/>
  <c r="F42" i="6" s="1"/>
  <c r="H39" i="6" s="1"/>
  <c r="N35" i="5" s="1"/>
  <c r="F38" i="6"/>
  <c r="F41" i="6" s="1"/>
  <c r="H38" i="6" s="1"/>
  <c r="N34" i="5" s="1"/>
  <c r="F37" i="6"/>
  <c r="H37" i="6" s="1"/>
  <c r="N33" i="5" s="1"/>
  <c r="R18" i="5" a="1"/>
  <c r="R18" i="5" s="1"/>
  <c r="Q19" i="5" a="1"/>
  <c r="Q19" i="5" s="1"/>
  <c r="I27" i="6"/>
  <c r="E30" i="6" a="1"/>
  <c r="E30"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1" i="6" l="1"/>
  <c r="I34" i="6"/>
  <c r="I33" i="6"/>
  <c r="I32" i="6"/>
  <c r="I30" i="6"/>
  <c r="H34" i="6"/>
  <c r="H33" i="6"/>
  <c r="H30" i="6"/>
  <c r="H31" i="6"/>
  <c r="H3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61CEAC-6301-4DC8-BD76-4DEBE9AB8D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3102D5-1346-43B3-B913-CE177C5E9A5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27F2DDBA-8F7D-4DC9-8E77-C9311DD1164B}"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<sst xmlns="http://schemas.openxmlformats.org/spreadsheetml/2006/main" count="3171" uniqueCount="1085">
  <si>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</si>
  <si>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</si>
  <si>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</si>
  <si>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</si>
  <si>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</si>
  <si>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</si>
  <si>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</si>
  <si>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</si>
  <si>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</si>
  <si>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</si>
  <si>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</si>
  <si>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</si>
  <si>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</si>
  <si>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</si>
  <si>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</si>
  <si>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</si>
  <si>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</si>
  <si>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</si>
  <si>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</si>
  <si>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</si>
  <si>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</si>
  <si>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</si>
  <si>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</si>
  <si>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</si>
  <si>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</si>
  <si>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</si>
  <si>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</si>
  <si>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</si>
  <si>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</si>
  <si>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</si>
  <si>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</si>
  <si>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</si>
  <si>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</si>
  <si>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</si>
  <si>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</si>
  <si>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</si>
  <si>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</si>
  <si>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</si>
  <si>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</si>
  <si>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</si>
  <si>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</si>
  <si>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</si>
  <si>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</si>
  <si>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</si>
  <si>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</si>
  <si>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</si>
  <si>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</si>
  <si>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</si>
  <si>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</si>
  <si>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</si>
  <si>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</si>
  <si>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</si>
  <si>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</si>
  <si>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</si>
  <si>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</si>
  <si>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</si>
  <si>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</si>
  <si>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</si>
  <si>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</si>
  <si>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</si>
  <si>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</si>
  <si>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</si>
  <si>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</si>
  <si>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</si>
  <si>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</si>
  <si>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</si>
  <si>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</si>
  <si>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</si>
  <si>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</si>
  <si>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</si>
  <si>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</si>
  <si>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</si>
  <si>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</si>
  <si>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</si>
  <si>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</si>
  <si>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</si>
  <si>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</si>
  <si>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</si>
  <si>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</si>
  <si>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</si>
  <si>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</si>
  <si>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</si>
  <si>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</si>
  <si>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</si>
  <si>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</si>
  <si>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</si>
  <si>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</si>
  <si>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</si>
  <si>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</si>
  <si>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</si>
  <si>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</si>
  <si>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</si>
  <si>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</si>
  <si>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</si>
  <si>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</si>
  <si>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</si>
  <si>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</si>
  <si>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</si>
  <si>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</si>
  <si>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</si>
  <si>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</si>
  <si>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</si>
  <si>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</si>
  <si>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</si>
  <si>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</si>
  <si>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</si>
  <si>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</si>
  <si>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</si>
  <si>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</si>
  <si>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</si>
  <si>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</si>
  <si>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</si>
  <si>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</si>
  <si>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</si>
  <si>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</si>
  <si>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</si>
  <si>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</si>
  <si>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</si>
  <si>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</si>
  <si>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</si>
  <si>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</si>
  <si>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</si>
  <si>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</si>
  <si>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</si>
  <si>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</si>
  <si>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</si>
  <si>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</si>
  <si>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</si>
  <si>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</si>
  <si>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</si>
  <si>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</si>
  <si>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</si>
  <si>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</si>
  <si>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</si>
  <si>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</si>
  <si>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</si>
  <si>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</si>
  <si>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</si>
  <si>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</si>
  <si>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</si>
  <si>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</si>
  <si>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</si>
  <si>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</si>
  <si>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</si>
  <si>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</si>
  <si>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</si>
  <si>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</si>
  <si>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</si>
  <si>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</si>
  <si>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</si>
  <si>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</si>
  <si>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</si>
  <si>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</si>
  <si>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</si>
  <si>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</si>
  <si>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</si>
  <si>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</si>
  <si>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</si>
  <si>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</si>
  <si>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</si>
  <si>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</si>
  <si>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</si>
  <si>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</si>
  <si>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</si>
  <si>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</si>
  <si>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</si>
  <si>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</si>
  <si>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</si>
  <si>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</si>
  <si>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</si>
  <si>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</si>
  <si>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</si>
  <si>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</si>
  <si>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</si>
  <si>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</si>
  <si>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</si>
  <si>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</si>
  <si>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</si>
  <si>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</si>
  <si>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</si>
  <si>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</si>
  <si>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</si>
  <si>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</si>
  <si>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</si>
  <si>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</si>
  <si>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</si>
  <si>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</si>
  <si>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</si>
  <si>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</si>
  <si>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</si>
  <si>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</si>
  <si>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</si>
  <si>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</si>
  <si>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</si>
  <si>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</si>
  <si>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</si>
  <si>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</si>
  <si>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</si>
  <si>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</si>
  <si>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</si>
  <si>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</si>
  <si>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</si>
  <si>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</si>
  <si>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</si>
  <si>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</si>
  <si>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</si>
  <si>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</si>
  <si>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</si>
  <si>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</si>
  <si>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</si>
  <si>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</si>
  <si>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</si>
  <si>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</si>
  <si>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</si>
  <si>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</si>
  <si>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</si>
  <si>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</si>
  <si>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</si>
  <si>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</si>
  <si>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</si>
  <si>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</si>
  <si>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</si>
  <si>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</si>
  <si>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</si>
  <si>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</si>
  <si>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</si>
  <si>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</si>
  <si>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</si>
  <si>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</si>
  <si>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</si>
  <si>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</si>
  <si>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</si>
  <si>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</si>
  <si>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</si>
  <si>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</si>
  <si>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</si>
  <si>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</si>
  <si>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</si>
  <si>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</si>
  <si>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</si>
  <si>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</si>
  <si>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</si>
  <si>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</si>
  <si>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</si>
  <si>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</si>
  <si>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</si>
  <si>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</si>
  <si>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</si>
  <si>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</si>
  <si>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</si>
  <si>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</si>
  <si>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</si>
  <si>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</si>
  <si>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</si>
  <si>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</si>
  <si>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</si>
  <si>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</si>
  <si>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</si>
  <si>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</si>
  <si>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</si>
  <si>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</si>
  <si>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</si>
  <si>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</si>
  <si>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</si>
  <si>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</si>
  <si>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</si>
  <si>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</si>
  <si>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</si>
  <si>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</si>
  <si>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</si>
  <si>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</si>
  <si>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</si>
  <si>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</si>
  <si>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</si>
  <si>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</si>
  <si>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</si>
  <si>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</si>
  <si>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</si>
  <si>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</si>
  <si>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</si>
  <si>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</si>
  <si>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</si>
  <si>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</si>
  <si>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</si>
  <si>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</si>
  <si>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</si>
  <si>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</si>
  <si>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</si>
  <si>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</si>
  <si>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</si>
  <si>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</si>
  <si>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</si>
  <si>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</si>
  <si>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</si>
  <si>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</si>
  <si>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</si>
  <si>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</si>
  <si>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</si>
  <si>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</si>
  <si>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</si>
  <si>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</si>
  <si>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</si>
  <si>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</si>
  <si>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</si>
  <si>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</si>
  <si>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</si>
  <si>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</si>
  <si>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</si>
  <si>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</si>
  <si>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</si>
  <si>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</si>
  <si>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</si>
  <si>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</si>
  <si>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</si>
  <si>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</si>
  <si>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</si>
  <si>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</si>
  <si>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</si>
  <si>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</si>
  <si>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</si>
  <si>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</si>
  <si>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</si>
  <si>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</si>
  <si>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</si>
  <si>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</si>
  <si>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</si>
  <si>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</si>
  <si>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</si>
  <si>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</si>
  <si>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</si>
  <si>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</si>
  <si>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</si>
  <si>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</si>
  <si>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</si>
  <si>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</si>
  <si>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</si>
  <si>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</si>
  <si>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</si>
  <si>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</si>
  <si>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</si>
  <si>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</si>
  <si>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</si>
  <si>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</si>
  <si>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</si>
  <si>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</si>
  <si>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</si>
  <si>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</si>
  <si>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</si>
  <si>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</si>
  <si>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</si>
  <si>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</si>
  <si>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</si>
  <si>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</si>
  <si>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</si>
  <si>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</si>
  <si>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</si>
  <si>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</si>
  <si>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</si>
  <si>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</si>
  <si>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</si>
  <si>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</si>
  <si>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</si>
  <si>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</si>
  <si>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</si>
  <si>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</si>
  <si>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</si>
  <si>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</si>
  <si>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</si>
  <si>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</si>
  <si>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</si>
  <si>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</si>
  <si>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</si>
  <si>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</si>
  <si>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</si>
  <si>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</si>
  <si>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</si>
  <si>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</si>
  <si>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</si>
  <si>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</si>
  <si>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</si>
  <si>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</si>
  <si>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</si>
  <si>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</si>
  <si>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</si>
  <si>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</si>
  <si>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</si>
  <si>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</si>
  <si>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</si>
  <si>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</si>
  <si>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</si>
  <si>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</si>
  <si>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</si>
  <si>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</si>
  <si>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</si>
  <si>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</si>
  <si>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</si>
  <si>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</si>
  <si>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</si>
  <si>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</si>
  <si>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</si>
  <si>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</si>
  <si>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</si>
  <si>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</si>
  <si>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</si>
  <si>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</si>
  <si>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</si>
  <si>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</si>
  <si>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</si>
  <si>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</si>
  <si>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</si>
  <si>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</si>
  <si>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</si>
  <si>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</si>
  <si>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</si>
  <si>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</si>
  <si>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</si>
  <si>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</si>
  <si>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</si>
  <si>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</si>
  <si>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</si>
  <si>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</si>
  <si>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</si>
  <si>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</si>
  <si>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</si>
  <si>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</si>
  <si>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</si>
  <si>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</si>
  <si>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</si>
  <si>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</si>
  <si>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</si>
  <si>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</si>
  <si>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</si>
  <si>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</si>
  <si>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</si>
  <si>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</si>
  <si>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</si>
  <si>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</si>
  <si>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</si>
  <si>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</si>
  <si>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</si>
  <si>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</si>
  <si>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</si>
  <si>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</si>
  <si>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</si>
  <si>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</si>
  <si>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</si>
  <si>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</si>
  <si>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</si>
  <si>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</si>
  <si>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</si>
  <si>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</si>
  <si>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</si>
  <si>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</si>
  <si>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</si>
  <si>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</si>
  <si>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</si>
  <si>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</si>
  <si>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</si>
  <si>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</si>
  <si>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</si>
  <si>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</si>
  <si>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</si>
  <si>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</si>
  <si>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</si>
  <si>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</si>
  <si>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</si>
  <si>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</si>
  <si>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</si>
  <si>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</si>
  <si>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</si>
  <si>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</si>
  <si>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</si>
  <si>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</si>
  <si>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</si>
  <si>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</si>
  <si>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</si>
  <si>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</si>
  <si>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</si>
  <si>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</si>
  <si>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</si>
  <si>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</si>
  <si>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</si>
  <si>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</si>
  <si>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</si>
  <si>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</si>
  <si>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</si>
  <si>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</si>
  <si>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</si>
  <si>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</si>
  <si>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</si>
  <si>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</si>
  <si>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</si>
  <si>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</si>
  <si>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</si>
  <si>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</si>
  <si>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</si>
  <si>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</si>
  <si>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</si>
  <si>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</si>
  <si>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</si>
  <si>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</si>
  <si>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</si>
  <si>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</si>
  <si>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</si>
  <si>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</si>
  <si>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</si>
  <si>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</si>
  <si>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</si>
  <si>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</si>
  <si>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</si>
  <si>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</si>
  <si>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</si>
  <si>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</si>
  <si>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</si>
  <si>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</si>
  <si>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</si>
  <si>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</si>
  <si>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</si>
  <si>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</si>
  <si>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</si>
  <si>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</si>
  <si>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</si>
  <si>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</si>
  <si>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</si>
  <si>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</si>
  <si>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</si>
  <si>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</si>
  <si>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</si>
  <si>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</si>
  <si>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</si>
  <si>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</si>
  <si>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</si>
  <si>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</si>
  <si>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</si>
  <si>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</si>
  <si>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</si>
  <si>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</si>
  <si>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</si>
  <si>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</si>
  <si>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</si>
  <si>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</si>
  <si>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</si>
  <si>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</si>
  <si>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</si>
  <si>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</si>
  <si>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</si>
  <si>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</si>
  <si>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</si>
  <si>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</si>
  <si>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</si>
  <si>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</si>
  <si>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</si>
  <si>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</si>
  <si>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</si>
  <si>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</si>
  <si>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</si>
  <si>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</si>
  <si>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</si>
  <si>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</si>
  <si>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</si>
  <si>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</si>
  <si>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</si>
  <si>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</si>
  <si>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</si>
  <si>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</si>
  <si>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</si>
  <si>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</si>
  <si>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</si>
  <si>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</si>
  <si>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</si>
  <si>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</si>
  <si>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</si>
  <si>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</si>
  <si>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</si>
  <si>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</si>
  <si>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</si>
  <si>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</si>
  <si>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</si>
  <si>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</si>
  <si>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</si>
  <si>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</si>
  <si>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</si>
  <si>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</si>
  <si>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</si>
  <si>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</si>
  <si>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</si>
  <si>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</si>
  <si>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</si>
  <si>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</si>
  <si>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</si>
  <si>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</si>
  <si>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</si>
  <si>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</si>
  <si>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</si>
  <si>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</si>
  <si>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</si>
  <si>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</si>
  <si>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</si>
  <si>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</si>
  <si>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</si>
  <si>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</si>
  <si>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</si>
  <si>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</si>
  <si>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</si>
  <si>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</si>
  <si>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</si>
  <si>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</si>
  <si>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</si>
  <si>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</si>
  <si>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</si>
  <si>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</si>
  <si>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</si>
  <si>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</si>
  <si>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</si>
  <si>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</si>
  <si>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</si>
  <si>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</si>
  <si>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</si>
  <si>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</si>
  <si>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</si>
  <si>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</si>
  <si>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</si>
  <si>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</si>
  <si>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</si>
  <si>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</si>
  <si>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</si>
  <si>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</si>
  <si>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</si>
  <si>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</si>
  <si>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</si>
  <si>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</si>
  <si>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</si>
  <si>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</si>
  <si>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</si>
  <si>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</si>
  <si>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</si>
  <si>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</si>
  <si>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</si>
  <si>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</si>
  <si>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</si>
  <si>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</si>
  <si>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</si>
  <si>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</si>
  <si>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</si>
  <si>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</si>
  <si>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</si>
  <si>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</si>
  <si>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</si>
  <si>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</si>
  <si>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</si>
  <si>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</si>
  <si>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</si>
  <si>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</si>
  <si>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</si>
  <si>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</si>
  <si>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</si>
  <si>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</si>
  <si>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</si>
  <si>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</si>
  <si>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</si>
  <si>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</si>
  <si>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</si>
  <si>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</si>
  <si>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</si>
  <si>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</si>
  <si>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</si>
  <si>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</si>
  <si>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</si>
  <si>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</si>
  <si>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</si>
  <si>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</si>
  <si>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</si>
  <si>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</si>
  <si>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</si>
  <si>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</si>
  <si>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</si>
  <si>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</si>
  <si>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</si>
  <si>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</si>
  <si>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</si>
  <si>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</si>
  <si>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</si>
  <si>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</si>
  <si>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</si>
  <si>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</si>
  <si>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</si>
  <si>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</si>
  <si>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</si>
  <si>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</si>
  <si>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</si>
  <si>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</si>
  <si>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</si>
  <si>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</si>
  <si>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</si>
  <si>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</si>
  <si>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</si>
  <si>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</si>
  <si>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</si>
  <si>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</si>
  <si>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</si>
  <si>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</si>
  <si>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</si>
  <si>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</si>
  <si>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</si>
  <si>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</si>
  <si>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</si>
  <si>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</si>
  <si>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</si>
  <si>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</si>
  <si>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</si>
  <si>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</si>
  <si>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</si>
  <si>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</si>
  <si>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</si>
  <si>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</si>
  <si>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</si>
  <si>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</si>
  <si>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</si>
  <si>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</si>
  <si>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</si>
  <si>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</si>
  <si>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</si>
  <si>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</si>
  <si>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</si>
  <si>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</si>
  <si>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</si>
  <si>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</si>
  <si>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</si>
  <si>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</si>
  <si>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</si>
  <si>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</si>
  <si>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</si>
  <si>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</si>
  <si>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</si>
  <si>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</si>
  <si>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</si>
  <si>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</si>
  <si>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</si>
  <si>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</si>
  <si>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</si>
  <si>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</si>
  <si>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</si>
  <si>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</si>
  <si>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</si>
  <si>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</si>
  <si>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</si>
  <si>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</si>
  <si>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</si>
  <si>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</si>
  <si>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</si>
  <si>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</si>
  <si>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</si>
  <si>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</si>
  <si>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</si>
  <si>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</si>
  <si>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</si>
  <si>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</si>
  <si>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</si>
  <si>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</si>
  <si>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</si>
  <si>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</si>
  <si>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</si>
  <si>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</si>
  <si>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</si>
  <si>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</si>
  <si>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</si>
  <si>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</si>
  <si>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</si>
  <si>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</si>
  <si>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</si>
  <si>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</si>
  <si>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</si>
  <si>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</si>
  <si>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</si>
  <si>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</si>
  <si>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</si>
  <si>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</si>
  <si>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</si>
  <si>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</si>
  <si>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</si>
  <si>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</si>
  <si>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</si>
  <si>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</si>
  <si>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</si>
  <si>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</si>
  <si>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</si>
  <si>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</si>
  <si>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</si>
  <si>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</si>
  <si>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</si>
  <si>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</si>
  <si>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</si>
  <si>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</si>
  <si>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</si>
  <si>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</si>
  <si>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</si>
  <si>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</si>
  <si>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</si>
  <si>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</si>
  <si>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</si>
  <si>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</si>
  <si>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</si>
  <si>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</si>
  <si>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</si>
  <si>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</si>
  <si>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</si>
  <si>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</si>
  <si>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</si>
  <si>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</si>
  <si>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</si>
  <si>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</si>
  <si>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</si>
  <si>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</si>
  <si>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</si>
  <si>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</si>
  <si>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</si>
  <si>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</si>
  <si>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</si>
  <si>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</si>
  <si>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</si>
  <si>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</si>
  <si>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</si>
  <si>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</si>
  <si>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</si>
  <si>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</si>
  <si>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</si>
  <si>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</si>
  <si>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</si>
  <si>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</si>
  <si>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</si>
  <si>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</si>
  <si>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</si>
  <si>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</si>
  <si>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</si>
  <si>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</si>
  <si>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</si>
  <si>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</si>
  <si>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</si>
  <si>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</si>
  <si>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</si>
  <si>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</si>
  <si>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</si>
  <si>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</si>
  <si>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</si>
  <si>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</si>
  <si>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</si>
  <si>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</si>
  <si>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</si>
  <si>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</si>
  <si>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</si>
  <si>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</si>
  <si>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</si>
  <si>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</si>
  <si>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</si>
  <si>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</si>
  <si>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</si>
  <si>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</si>
  <si>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</si>
  <si>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</si>
  <si>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</si>
  <si>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</si>
  <si>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</si>
  <si>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</si>
  <si>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</si>
  <si>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</si>
  <si>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</si>
  <si>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</si>
  <si>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</si>
  <si>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</si>
  <si>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</si>
  <si>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</si>
  <si>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</si>
  <si>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</si>
  <si>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</si>
  <si>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</si>
  <si>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</si>
  <si>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</si>
  <si>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</si>
  <si>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</si>
  <si>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</si>
  <si>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</si>
  <si>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</si>
  <si>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</si>
  <si>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</si>
  <si>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</si>
  <si>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</si>
  <si>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</si>
  <si>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</si>
  <si>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</si>
  <si>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</si>
  <si>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</si>
  <si>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</si>
  <si>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</si>
  <si>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</si>
  <si>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</si>
  <si>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</si>
  <si>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</si>
  <si>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</si>
  <si>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</si>
  <si>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</si>
  <si>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</si>
  <si>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</si>
  <si>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</si>
  <si>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</si>
  <si>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</si>
  <si>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</si>
  <si>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</si>
  <si>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</si>
  <si>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</si>
  <si>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</si>
  <si>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</si>
  <si>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</si>
  <si>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</si>
  <si>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</si>
  <si>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</si>
  <si>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</si>
  <si>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</si>
  <si>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</si>
  <si>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</si>
  <si>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</si>
  <si>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</si>
  <si>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</si>
  <si>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</si>
  <si>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</si>
  <si>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</si>
  <si>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</si>
  <si>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</si>
  <si>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</si>
  <si>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</si>
  <si>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</si>
  <si>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</si>
  <si>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</si>
  <si>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</si>
  <si>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</si>
  <si>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</si>
  <si>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</si>
  <si>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</si>
  <si>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</si>
  <si>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</si>
  <si>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</si>
  <si>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</si>
  <si>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</si>
  <si>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</si>
  <si>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</si>
  <si>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</si>
  <si>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</si>
  <si>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</si>
  <si>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</si>
  <si>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</si>
  <si>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</si>
  <si>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</si>
  <si>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</si>
  <si>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</si>
  <si>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</si>
  <si>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</si>
  <si>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</si>
  <si>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</si>
  <si>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</si>
  <si>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</si>
  <si>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</si>
  <si>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</si>
  <si>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</si>
  <si>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</si>
  <si>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</si>
  <si>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</si>
  <si>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</si>
  <si>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</si>
  <si>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</si>
  <si>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</si>
  <si>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</si>
  <si>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</si>
  <si>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</si>
  <si>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</si>
  <si>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</si>
  <si>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</si>
  <si>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</si>
  <si>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</si>
  <si>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</si>
  <si>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</si>
  <si>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</si>
  <si>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</si>
  <si>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</si>
  <si>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</si>
  <si>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</si>
  <si>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</si>
  <si>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</si>
  <si>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</si>
  <si>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</si>
  <si>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</si>
  <si>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</si>
  <si>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</si>
  <si>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</si>
  <si>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</si>
  <si>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</si>
  <si>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</si>
  <si>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</si>
  <si>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</si>
  <si>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</si>
  <si>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</si>
  <si>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</si>
  <si>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</si>
  <si>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</si>
  <si>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</si>
  <si>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</si>
  <si>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</si>
  <si>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</si>
  <si>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</si>
  <si>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</si>
  <si>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</si>
  <si>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</si>
  <si>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</si>
  <si>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</si>
  <si>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</si>
  <si>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</si>
  <si>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</si>
  <si>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</si>
  <si>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</si>
  <si>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</si>
  <si>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</si>
  <si>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</si>
  <si>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</si>
  <si>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</si>
  <si>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</si>
  <si>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</si>
  <si>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</si>
  <si>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</si>
  <si>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</si>
  <si>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</si>
  <si>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</si>
  <si>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</si>
  <si>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</si>
  <si>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</si>
  <si>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</si>
  <si>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</si>
  <si>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</si>
  <si>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</si>
  <si>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</si>
  <si>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</si>
  <si>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</si>
  <si>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</si>
  <si>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</si>
  <si>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</si>
  <si>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Calls Count</t>
  </si>
  <si>
    <t>Total Amount</t>
  </si>
  <si>
    <t>Total Duration</t>
  </si>
  <si>
    <t>Average Rating</t>
  </si>
  <si>
    <t>5 * Calls</t>
  </si>
  <si>
    <t>Row Labels</t>
  </si>
  <si>
    <t>Grand Total</t>
  </si>
  <si>
    <t>Jan</t>
  </si>
  <si>
    <t>Feb</t>
  </si>
  <si>
    <t>Mar</t>
  </si>
  <si>
    <t>Apr</t>
  </si>
  <si>
    <t>May</t>
  </si>
  <si>
    <t>Jun</t>
  </si>
  <si>
    <t>Jul</t>
  </si>
  <si>
    <t>Aug</t>
  </si>
  <si>
    <t>Sep</t>
  </si>
  <si>
    <t>Oct</t>
  </si>
  <si>
    <t>Nov</t>
  </si>
  <si>
    <t>Dec</t>
  </si>
  <si>
    <t>Calls Count2</t>
  </si>
  <si>
    <t>Friday</t>
  </si>
  <si>
    <t>Monday</t>
  </si>
  <si>
    <t>Saturday</t>
  </si>
  <si>
    <t>Sunday</t>
  </si>
  <si>
    <t>Thursday</t>
  </si>
  <si>
    <t>Tuesday</t>
  </si>
  <si>
    <t>Wednesday</t>
  </si>
  <si>
    <t xml:space="preserve">Rep </t>
  </si>
  <si>
    <t>Calls</t>
  </si>
  <si>
    <t>Amount</t>
  </si>
  <si>
    <t>For Graph</t>
  </si>
  <si>
    <t>Selected Rep</t>
  </si>
  <si>
    <t>Sel. Calls</t>
  </si>
  <si>
    <t>Sel. Amount</t>
  </si>
  <si>
    <t>Column Labels</t>
  </si>
  <si>
    <t>Count of Call number</t>
  </si>
  <si>
    <t>TOTAL</t>
  </si>
  <si>
    <t>Rep Summary</t>
  </si>
  <si>
    <t>% of calls</t>
  </si>
  <si>
    <t>Call Rank</t>
  </si>
  <si>
    <t>Amount Rank</t>
  </si>
  <si>
    <t>Labels</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</si>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</sst>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quot;$&quot;#,###.0,&quot;k&quot;"/>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0" tint="-0.34998626667073579"/>
      <name val="Aptos"/>
      <family val="2"/>
      <scheme val="minor"/>
    </font>
    <font>
      <b/>
      <sz val="26"/>
      <color theme="0" tint="-0.499984740745262"/>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2" fontId="0" fillId="5" borderId="10" xfId="0" applyNumberFormat="1" applyFill="1" applyBorder="1"/>
    <xf numFmtId="2" fontId="0" fillId="5" borderId="0" xfId="0" applyNumberFormat="1" applyFill="1"/>
    <xf numFmtId="2" fontId="0" fillId="5" borderId="14" xfId="0" applyNumberFormat="1" applyFill="1" applyBorder="1"/>
    <xf numFmtId="2" fontId="0" fillId="5" borderId="13" xfId="0" applyNumberFormat="1" applyFill="1" applyBorder="1" applyAlignment="1">
      <alignment horizontal="left" indent="1"/>
    </xf>
    <xf numFmtId="2" fontId="0" fillId="5" borderId="15" xfId="0" applyNumberFormat="1" applyFill="1" applyBorder="1" applyAlignment="1">
      <alignment horizontal="left" indent="1"/>
    </xf>
    <xf numFmtId="2" fontId="0" fillId="5" borderId="16" xfId="0" applyNumberFormat="1" applyFill="1" applyBorder="1"/>
    <xf numFmtId="2" fontId="0" fillId="5" borderId="17" xfId="0" applyNumberFormat="1" applyFill="1" applyBorder="1"/>
    <xf numFmtId="2" fontId="1" fillId="5" borderId="11" xfId="0" applyNumberFormat="1" applyFont="1" applyFill="1" applyBorder="1" applyAlignment="1">
      <alignment horizontal="right"/>
    </xf>
    <xf numFmtId="2" fontId="1" fillId="5" borderId="12" xfId="0" applyNumberFormat="1" applyFont="1" applyFill="1" applyBorder="1" applyAlignment="1">
      <alignment horizontal="right"/>
    </xf>
    <xf numFmtId="2" fontId="1" fillId="5" borderId="13" xfId="0" applyNumberFormat="1" applyFont="1" applyFill="1" applyBorder="1"/>
    <xf numFmtId="9" fontId="0" fillId="0" borderId="0" xfId="1" applyFont="1"/>
    <xf numFmtId="0" fontId="6" fillId="3" borderId="0" xfId="0" applyFont="1" applyFill="1"/>
    <xf numFmtId="0" fontId="0" fillId="3" borderId="0" xfId="0"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19">
    <dxf>
      <fill>
        <patternFill>
          <bgColor theme="8" tint="0.39994506668294322"/>
        </patternFill>
      </fill>
      <border>
        <left style="thin">
          <color theme="1" tint="0.14996795556505021"/>
        </left>
        <right style="thin">
          <color theme="1" tint="0.1499679555650502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diagonalUp="0" diagonalDown="0">
        <left/>
        <right/>
        <top/>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59543F36-03A5-428E-A16F-534F0DAF64F4}">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[07.sample-data-excel-portfolio-project.xlsx]Pivots!Weekly Trend</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Pivots!$F$13</c:f>
              <c:strCache>
                <c:ptCount val="1"/>
                <c:pt idx="0">
                  <c:v>Total</c:v>
                </c:pt>
              </c:strCache>
            </c:strRef>
          </c:tx>
          <c:spPr>
            <a:solidFill>
              <a:schemeClr val="accent5"/>
            </a:solidFill>
            <a:ln>
              <a:solidFill>
                <a:schemeClr val="accent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Pivots!$E$14:$E$21</c:f>
              <c:strCache>
                <c:ptCount val="7"/>
                <c:pt idx="0">
                  <c:v>Saturday</c:v>
                </c:pt>
                <c:pt idx="1">
                  <c:v>Friday</c:v>
                </c:pt>
                <c:pt idx="2">
                  <c:v>Thursday</c:v>
                </c:pt>
                <c:pt idx="3">
                  <c:v>Wednesday</c:v>
                </c:pt>
                <c:pt idx="4">
                  <c:v>Tuesday</c:v>
                </c:pt>
                <c:pt idx="5">
                  <c:v>Monday</c:v>
                </c:pt>
                <c:pt idx="6">
                  <c:v>Sunday</c:v>
                </c:pt>
              </c:strCache>
            </c:strRef>
          </c:cat>
          <c:val>
            <c:numRef>
              <c:f>Pivots!$F$14:$F$21</c:f>
              <c:numCache>
                <c:formatCode>#,##0</c:formatCode>
                <c:ptCount val="7"/>
                <c:pt idx="0">
                  <c:v>40</c:v>
                </c:pt>
                <c:pt idx="1">
                  <c:v>24</c:v>
                </c:pt>
                <c:pt idx="2">
                  <c:v>23</c:v>
                </c:pt>
                <c:pt idx="3">
                  <c:v>23</c:v>
                </c:pt>
                <c:pt idx="4">
                  <c:v>13</c:v>
                </c:pt>
                <c:pt idx="5">
                  <c:v>30</c:v>
                </c:pt>
                <c:pt idx="6">
                  <c:v>36</c:v>
                </c:pt>
              </c:numCache>
            </c:numRef>
          </c:val>
          <c:extLst>
            <c:ext xmlns:c16="http://schemas.microsoft.com/office/drawing/2014/chart" uri="{C3380CC4-5D6E-409C-BE32-E72D297353CC}">
              <c16:uniqueId val="{00000000-4F71-4D52-A1C5-3CDD7ED66AA3}"/>
            </c:ext>
          </c:extLst>
        </c:ser>
        <c:dLbls>
          <c:dLblPos val="outEnd"/>
          <c:showLegendKey val="0"/>
          <c:showVal val="1"/>
          <c:showCatName val="0"/>
          <c:showSerName val="0"/>
          <c:showPercent val="0"/>
          <c:showBubbleSize val="0"/>
        </c:dLbls>
        <c:gapWidth val="25"/>
        <c:axId val="862756704"/>
        <c:axId val="862759104"/>
      </c:barChart>
      <c:catAx>
        <c:axId val="862756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59104"/>
        <c:crosses val="autoZero"/>
        <c:auto val="1"/>
        <c:lblAlgn val="ctr"/>
        <c:lblOffset val="100"/>
        <c:noMultiLvlLbl val="0"/>
      </c:catAx>
      <c:valAx>
        <c:axId val="862759104"/>
        <c:scaling>
          <c:orientation val="minMax"/>
        </c:scaling>
        <c:delete val="1"/>
        <c:axPos val="b"/>
        <c:numFmt formatCode="#,##0" sourceLinked="1"/>
        <c:majorTickMark val="out"/>
        <c:minorTickMark val="none"/>
        <c:tickLblPos val="nextTo"/>
        <c:crossAx val="8627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5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solidFill>
                <a:latin typeface="+mn-lt"/>
              </a:rPr>
              <a:t>Call</a:t>
            </a:r>
            <a:r>
              <a:rPr lang="en-US" sz="1800" b="1" baseline="0">
                <a:solidFill>
                  <a:schemeClr val="accent6"/>
                </a:solidFill>
                <a:latin typeface="+mn-lt"/>
              </a:rPr>
              <a:t> Trend</a:t>
            </a:r>
            <a:endParaRPr lang="en-US" sz="1800" b="1">
              <a:solidFill>
                <a:schemeClr val="accent6"/>
              </a:solidFill>
              <a:latin typeface="+mn-lt"/>
            </a:endParaRPr>
          </a:p>
        </c:rich>
      </c:tx>
      <c:layout>
        <c:manualLayout>
          <c:xMode val="edge"/>
          <c:yMode val="edge"/>
          <c:x val="2.3245052068425351E-2"/>
          <c:y val="4.413793103448275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6">
                  <a:alpha val="50000"/>
                  <a:lumMod val="66000"/>
                  <a:lumOff val="34000"/>
                </a:schemeClr>
              </a:gs>
              <a:gs pos="0">
                <a:schemeClr val="accent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alpha val="91000"/>
              </a:schemeClr>
            </a:solidFill>
            <a:round/>
          </a:ln>
          <a:effectLst/>
        </c:spPr>
        <c:marker>
          <c:symbol val="circle"/>
          <c:size val="7"/>
          <c:spPr>
            <a:solidFill>
              <a:schemeClr val="bg1"/>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Pivots!$C$13</c:f>
              <c:strCache>
                <c:ptCount val="1"/>
                <c:pt idx="0">
                  <c:v>Calls Count2</c:v>
                </c:pt>
              </c:strCache>
            </c:strRef>
          </c:tx>
          <c:spPr>
            <a:gradFill flip="none" rotWithShape="1">
              <a:gsLst>
                <a:gs pos="100000">
                  <a:schemeClr val="accent6">
                    <a:alpha val="50000"/>
                    <a:lumMod val="66000"/>
                    <a:lumOff val="34000"/>
                  </a:schemeClr>
                </a:gs>
                <a:gs pos="0">
                  <a:schemeClr val="accent6"/>
                </a:gs>
              </a:gsLst>
              <a:lin ang="5400000" scaled="1"/>
              <a:tileRect/>
            </a:gra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8F34-4586-8FAC-32387619469C}"/>
            </c:ext>
          </c:extLst>
        </c:ser>
        <c:dLbls>
          <c:showLegendKey val="0"/>
          <c:showVal val="0"/>
          <c:showCatName val="0"/>
          <c:showSerName val="0"/>
          <c:showPercent val="0"/>
          <c:showBubbleSize val="0"/>
        </c:dLbls>
        <c:axId val="979668800"/>
        <c:axId val="979660640"/>
      </c:areaChart>
      <c:lineChart>
        <c:grouping val="standard"/>
        <c:varyColors val="0"/>
        <c:ser>
          <c:idx val="0"/>
          <c:order val="0"/>
          <c:tx>
            <c:strRef>
              <c:f>Pivots!$B$13</c:f>
              <c:strCache>
                <c:ptCount val="1"/>
                <c:pt idx="0">
                  <c:v>Calls Count</c:v>
                </c:pt>
              </c:strCache>
            </c:strRef>
          </c:tx>
          <c:spPr>
            <a:ln w="28575" cap="rnd">
              <a:solidFill>
                <a:schemeClr val="accent6">
                  <a:alpha val="91000"/>
                </a:schemeClr>
              </a:solidFill>
              <a:round/>
            </a:ln>
            <a:effectLst/>
          </c:spPr>
          <c:marker>
            <c:symbol val="circle"/>
            <c:size val="7"/>
            <c:spPr>
              <a:solidFill>
                <a:schemeClr val="bg1"/>
              </a:solidFill>
              <a:ln w="25400">
                <a:solidFill>
                  <a:schemeClr val="tx1">
                    <a:lumMod val="75000"/>
                    <a:lumOff val="25000"/>
                  </a:schemeClr>
                </a:solid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8F34-4586-8FAC-32387619469C}"/>
            </c:ext>
          </c:extLst>
        </c:ser>
        <c:dLbls>
          <c:showLegendKey val="0"/>
          <c:showVal val="0"/>
          <c:showCatName val="0"/>
          <c:showSerName val="0"/>
          <c:showPercent val="0"/>
          <c:showBubbleSize val="0"/>
        </c:dLbls>
        <c:marker val="1"/>
        <c:smooth val="0"/>
        <c:axId val="979668800"/>
        <c:axId val="979660640"/>
      </c:lineChart>
      <c:catAx>
        <c:axId val="97966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60640"/>
        <c:crosses val="autoZero"/>
        <c:auto val="1"/>
        <c:lblAlgn val="ctr"/>
        <c:lblOffset val="100"/>
        <c:noMultiLvlLbl val="0"/>
      </c:catAx>
      <c:valAx>
        <c:axId val="97966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solidFill>
                  <a:schemeClr val="accent6"/>
                </a:solidFill>
              </a:rPr>
              <a:t>Amount</a:t>
            </a:r>
          </a:p>
        </c:rich>
      </c:tx>
      <c:layout>
        <c:manualLayout>
          <c:xMode val="edge"/>
          <c:yMode val="edge"/>
          <c:x val="5.4594886230544669E-2"/>
          <c:y val="2.0782218711851538E-2"/>
        </c:manualLayout>
      </c:layout>
      <c:overlay val="0"/>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Pivots!$E$30:$E$34</c:f>
              <c:strCache>
                <c:ptCount val="5"/>
                <c:pt idx="0">
                  <c:v>R01</c:v>
                </c:pt>
                <c:pt idx="1">
                  <c:v>R02</c:v>
                </c:pt>
                <c:pt idx="2">
                  <c:v>R03</c:v>
                </c:pt>
                <c:pt idx="3">
                  <c:v>R04</c:v>
                </c:pt>
                <c:pt idx="4">
                  <c:v>R05</c:v>
                </c:pt>
              </c:strCache>
            </c:strRef>
          </c:cat>
          <c:val>
            <c:numRef>
              <c:f>Pivots!$G$30:$G$34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354-4EC7-AA91-6A241879D9B5}"/>
            </c:ext>
          </c:extLst>
        </c:ser>
        <c:ser>
          <c:idx val="1"/>
          <c:order val="1"/>
          <c:tx>
            <c:strRef>
              <c:f>Pivots!$I$29</c:f>
              <c:strCache>
                <c:ptCount val="1"/>
                <c:pt idx="0">
                  <c:v>Sel. Amount</c:v>
                </c:pt>
              </c:strCache>
            </c:strRef>
          </c:tx>
          <c:spPr>
            <a:gradFill flip="none" rotWithShape="1">
              <a:gsLst>
                <a:gs pos="100000">
                  <a:schemeClr val="accent6">
                    <a:lumMod val="20000"/>
                    <a:lumOff val="80000"/>
                  </a:schemeClr>
                </a:gs>
                <a:gs pos="25000">
                  <a:schemeClr val="accent6"/>
                </a:gs>
              </a:gsLst>
              <a:lin ang="10800000" scaled="1"/>
              <a:tileRect/>
            </a:gradFill>
          </c:spPr>
          <c:invertIfNegative val="0"/>
          <c:dLbls>
            <c:delete val="1"/>
          </c:dLbls>
          <c:val>
            <c:numRef>
              <c:f>Pivots!$I$30:$I$34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2354-4EC7-AA91-6A241879D9B5}"/>
            </c:ext>
          </c:extLst>
        </c:ser>
        <c:dLbls>
          <c:dLblPos val="outEnd"/>
          <c:showLegendKey val="0"/>
          <c:showVal val="1"/>
          <c:showCatName val="0"/>
          <c:showSerName val="0"/>
          <c:showPercent val="0"/>
          <c:showBubbleSize val="0"/>
        </c:dLbls>
        <c:gapWidth val="25"/>
        <c:overlap val="100"/>
        <c:axId val="1586477376"/>
        <c:axId val="1586475456"/>
      </c:barChart>
      <c:catAx>
        <c:axId val="1586477376"/>
        <c:scaling>
          <c:orientation val="maxMin"/>
        </c:scaling>
        <c:delete val="1"/>
        <c:axPos val="l"/>
        <c:numFmt formatCode="General" sourceLinked="1"/>
        <c:majorTickMark val="none"/>
        <c:minorTickMark val="none"/>
        <c:tickLblPos val="nextTo"/>
        <c:crossAx val="1586475456"/>
        <c:crosses val="autoZero"/>
        <c:auto val="1"/>
        <c:lblAlgn val="ctr"/>
        <c:lblOffset val="100"/>
        <c:noMultiLvlLbl val="0"/>
      </c:catAx>
      <c:valAx>
        <c:axId val="1586475456"/>
        <c:scaling>
          <c:orientation val="minMax"/>
        </c:scaling>
        <c:delete val="1"/>
        <c:axPos val="t"/>
        <c:numFmt formatCode="&quot;$&quot;#,###.0,&quot;k&quot;" sourceLinked="1"/>
        <c:majorTickMark val="none"/>
        <c:minorTickMark val="none"/>
        <c:tickLblPos val="nextTo"/>
        <c:crossAx val="1586477376"/>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chemeClr val="accent5"/>
                </a:solidFill>
                <a:latin typeface="+mn-lt"/>
                <a:ea typeface="+mn-ea"/>
                <a:cs typeface="+mn-cs"/>
              </a:rPr>
              <a:t>Calls</a:t>
            </a:r>
          </a:p>
        </c:rich>
      </c:tx>
      <c:layout>
        <c:manualLayout>
          <c:xMode val="edge"/>
          <c:yMode val="edge"/>
          <c:x val="4.9954714686285061E-2"/>
          <c:y val="2.0782218711851538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Pivots!$E$30:$E$34</c:f>
              <c:strCache>
                <c:ptCount val="5"/>
                <c:pt idx="0">
                  <c:v>R01</c:v>
                </c:pt>
                <c:pt idx="1">
                  <c:v>R02</c:v>
                </c:pt>
                <c:pt idx="2">
                  <c:v>R03</c:v>
                </c:pt>
                <c:pt idx="3">
                  <c:v>R04</c:v>
                </c:pt>
                <c:pt idx="4">
                  <c:v>R05</c:v>
                </c:pt>
              </c:strCache>
            </c:strRef>
          </c:cat>
          <c:val>
            <c:numRef>
              <c:f>Pivots!$F$30:$F$34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64A-4813-A153-576977FF9A55}"/>
            </c:ext>
          </c:extLst>
        </c:ser>
        <c:ser>
          <c:idx val="1"/>
          <c:order val="1"/>
          <c:tx>
            <c:strRef>
              <c:f>Pivots!$H$29</c:f>
              <c:strCache>
                <c:ptCount val="1"/>
                <c:pt idx="0">
                  <c:v>Sel. Calls</c:v>
                </c:pt>
              </c:strCache>
            </c:strRef>
          </c:tx>
          <c:spPr>
            <a:gradFill flip="none" rotWithShape="1">
              <a:gsLst>
                <a:gs pos="14000">
                  <a:schemeClr val="accent5">
                    <a:lumMod val="40000"/>
                    <a:lumOff val="60000"/>
                  </a:schemeClr>
                </a:gs>
                <a:gs pos="93000">
                  <a:schemeClr val="accent5"/>
                </a:gs>
              </a:gsLst>
              <a:lin ang="0" scaled="1"/>
              <a:tileRect/>
            </a:gradFill>
            <a:ln>
              <a:noFill/>
            </a:ln>
            <a:effectLst/>
          </c:spPr>
          <c:invertIfNegative val="0"/>
          <c:val>
            <c:numRef>
              <c:f>Pivots!$H$30:$H$34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C64A-4813-A153-576977FF9A55}"/>
            </c:ext>
          </c:extLst>
        </c:ser>
        <c:dLbls>
          <c:showLegendKey val="0"/>
          <c:showVal val="0"/>
          <c:showCatName val="0"/>
          <c:showSerName val="0"/>
          <c:showPercent val="0"/>
          <c:showBubbleSize val="0"/>
        </c:dLbls>
        <c:gapWidth val="25"/>
        <c:overlap val="100"/>
        <c:axId val="1586477376"/>
        <c:axId val="1586475456"/>
      </c:barChart>
      <c:catAx>
        <c:axId val="1586477376"/>
        <c:scaling>
          <c:orientation val="maxMin"/>
        </c:scaling>
        <c:delete val="0"/>
        <c:axPos val="l"/>
        <c:numFmt formatCode="General" sourceLinked="1"/>
        <c:majorTickMark val="none"/>
        <c:minorTickMark val="none"/>
        <c:tickLblPos val="nextTo"/>
        <c:spPr>
          <a:noFill/>
          <a:ln w="9525" cap="flat" cmpd="sng" algn="ctr">
            <a:solidFill>
              <a:schemeClr val="bg1">
                <a:lumMod val="85000"/>
                <a:alpha val="9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75456"/>
        <c:crosses val="autoZero"/>
        <c:auto val="1"/>
        <c:lblAlgn val="ctr"/>
        <c:lblOffset val="100"/>
        <c:noMultiLvlLbl val="0"/>
      </c:catAx>
      <c:valAx>
        <c:axId val="1586475456"/>
        <c:scaling>
          <c:orientation val="minMax"/>
          <c:min val="0"/>
        </c:scaling>
        <c:delete val="1"/>
        <c:axPos val="t"/>
        <c:numFmt formatCode="General" sourceLinked="1"/>
        <c:majorTickMark val="none"/>
        <c:minorTickMark val="none"/>
        <c:tickLblPos val="nextTo"/>
        <c:crossAx val="158647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solidFill>
              </a:rPr>
              <a:t>Female</a:t>
            </a:r>
            <a:r>
              <a:rPr lang="en-US" sz="1600" b="1"/>
              <a:t> vs.</a:t>
            </a:r>
            <a:r>
              <a:rPr lang="en-US" sz="1600" b="1" baseline="0"/>
              <a:t> </a:t>
            </a:r>
            <a:r>
              <a:rPr lang="en-US" sz="1600" b="1" baseline="0">
                <a:solidFill>
                  <a:schemeClr val="accent4"/>
                </a:solidFill>
              </a:rPr>
              <a:t>Male</a:t>
            </a:r>
            <a:r>
              <a:rPr lang="en-US" sz="1600" b="1" baseline="0"/>
              <a:t> Callers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lt1">
                  <a:shade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lt1">
                  <a:shade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percentStacked"/>
        <c:varyColors val="0"/>
        <c:ser>
          <c:idx val="0"/>
          <c:order val="0"/>
          <c:tx>
            <c:strRef>
              <c:f>Pivots!$B$42:$B$43</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lt1">
                    <a:shade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Pivots!$A$44:$A$47</c:f>
              <c:strCache>
                <c:ptCount val="3"/>
                <c:pt idx="0">
                  <c:v>Cincinnati</c:v>
                </c:pt>
                <c:pt idx="1">
                  <c:v>Cleveland</c:v>
                </c:pt>
                <c:pt idx="2">
                  <c:v>Columbus</c:v>
                </c:pt>
              </c:strCache>
            </c:strRef>
          </c:cat>
          <c:val>
            <c:numRef>
              <c:f>Pivots!$B$44:$B$47</c:f>
              <c:numCache>
                <c:formatCode>General</c:formatCode>
                <c:ptCount val="3"/>
                <c:pt idx="0">
                  <c:v>144</c:v>
                </c:pt>
                <c:pt idx="1">
                  <c:v>326</c:v>
                </c:pt>
                <c:pt idx="2">
                  <c:v>129</c:v>
                </c:pt>
              </c:numCache>
            </c:numRef>
          </c:val>
          <c:extLst>
            <c:ext xmlns:c16="http://schemas.microsoft.com/office/drawing/2014/chart" uri="{C3380CC4-5D6E-409C-BE32-E72D297353CC}">
              <c16:uniqueId val="{00000000-F2EA-4740-9368-6A47BB01490A}"/>
            </c:ext>
          </c:extLst>
        </c:ser>
        <c:ser>
          <c:idx val="1"/>
          <c:order val="1"/>
          <c:tx>
            <c:strRef>
              <c:f>Pivots!$C$42:$C$43</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lt1">
                    <a:shade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Pivots!$A$44:$A$47</c:f>
              <c:strCache>
                <c:ptCount val="3"/>
                <c:pt idx="0">
                  <c:v>Cincinnati</c:v>
                </c:pt>
                <c:pt idx="1">
                  <c:v>Cleveland</c:v>
                </c:pt>
                <c:pt idx="2">
                  <c:v>Columbus</c:v>
                </c:pt>
              </c:strCache>
            </c:strRef>
          </c:cat>
          <c:val>
            <c:numRef>
              <c:f>Pivots!$C$44:$C$47</c:f>
              <c:numCache>
                <c:formatCode>General</c:formatCode>
                <c:ptCount val="3"/>
                <c:pt idx="0">
                  <c:v>132</c:v>
                </c:pt>
                <c:pt idx="1">
                  <c:v>63</c:v>
                </c:pt>
                <c:pt idx="2">
                  <c:v>206</c:v>
                </c:pt>
              </c:numCache>
            </c:numRef>
          </c:val>
          <c:extLst>
            <c:ext xmlns:c16="http://schemas.microsoft.com/office/drawing/2014/chart" uri="{C3380CC4-5D6E-409C-BE32-E72D297353CC}">
              <c16:uniqueId val="{00000001-F2EA-4740-9368-6A47BB01490A}"/>
            </c:ext>
          </c:extLst>
        </c:ser>
        <c:dLbls>
          <c:dLblPos val="ctr"/>
          <c:showLegendKey val="0"/>
          <c:showVal val="1"/>
          <c:showCatName val="0"/>
          <c:showSerName val="0"/>
          <c:showPercent val="0"/>
          <c:showBubbleSize val="0"/>
        </c:dLbls>
        <c:gapWidth val="25"/>
        <c:overlap val="100"/>
        <c:axId val="798000752"/>
        <c:axId val="798003152"/>
      </c:barChart>
      <c:catAx>
        <c:axId val="798000752"/>
        <c:scaling>
          <c:orientation val="minMax"/>
        </c:scaling>
        <c:delete val="1"/>
        <c:axPos val="b"/>
        <c:numFmt formatCode="General" sourceLinked="1"/>
        <c:majorTickMark val="none"/>
        <c:minorTickMark val="none"/>
        <c:tickLblPos val="nextTo"/>
        <c:crossAx val="798003152"/>
        <c:crosses val="autoZero"/>
        <c:auto val="1"/>
        <c:lblAlgn val="ctr"/>
        <c:lblOffset val="100"/>
        <c:noMultiLvlLbl val="0"/>
      </c:catAx>
      <c:valAx>
        <c:axId val="798003152"/>
        <c:scaling>
          <c:orientation val="minMax"/>
        </c:scaling>
        <c:delete val="1"/>
        <c:axPos val="l"/>
        <c:numFmt formatCode="0%" sourceLinked="1"/>
        <c:majorTickMark val="none"/>
        <c:minorTickMark val="none"/>
        <c:tickLblPos val="nextTo"/>
        <c:crossAx val="79800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Rating</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bg2">
                    <a:lumMod val="50000"/>
                  </a:schemeClr>
                </a:solidFill>
              </a:rPr>
              <a:t> Rating</a:t>
            </a:r>
            <a:endParaRPr lang="en-US" sz="2000" b="1">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Pivots!$B$51</c:f>
              <c:strCache>
                <c:ptCount val="1"/>
                <c:pt idx="0">
                  <c:v>Total</c:v>
                </c:pt>
              </c:strCache>
            </c:strRef>
          </c:tx>
          <c:spPr>
            <a:solidFill>
              <a:schemeClr val="bg2">
                <a:lumMod val="50000"/>
              </a:schemeClr>
            </a:solidFill>
            <a:ln>
              <a:noFill/>
            </a:ln>
            <a:effectLst/>
          </c:spPr>
          <c:invertIfNegative val="0"/>
          <c:cat>
            <c:strRef>
              <c:f>Pivots!$A$52:$A$57</c:f>
              <c:strCache>
                <c:ptCount val="5"/>
                <c:pt idx="0">
                  <c:v>1</c:v>
                </c:pt>
                <c:pt idx="1">
                  <c:v>2</c:v>
                </c:pt>
                <c:pt idx="2">
                  <c:v>3</c:v>
                </c:pt>
                <c:pt idx="3">
                  <c:v>4</c:v>
                </c:pt>
                <c:pt idx="4">
                  <c:v>5</c:v>
                </c:pt>
              </c:strCache>
            </c:strRef>
          </c:cat>
          <c:val>
            <c:numRef>
              <c:f>Pivots!$B$52:$B$57</c:f>
              <c:numCache>
                <c:formatCode>General</c:formatCode>
                <c:ptCount val="5"/>
                <c:pt idx="0">
                  <c:v>1</c:v>
                </c:pt>
                <c:pt idx="1">
                  <c:v>9</c:v>
                </c:pt>
                <c:pt idx="2">
                  <c:v>31</c:v>
                </c:pt>
                <c:pt idx="3">
                  <c:v>88</c:v>
                </c:pt>
                <c:pt idx="4">
                  <c:v>60</c:v>
                </c:pt>
              </c:numCache>
            </c:numRef>
          </c:val>
          <c:extLst>
            <c:ext xmlns:c16="http://schemas.microsoft.com/office/drawing/2014/chart" uri="{C3380CC4-5D6E-409C-BE32-E72D297353CC}">
              <c16:uniqueId val="{00000000-09E7-48DD-BBA9-9A5CEF606730}"/>
            </c:ext>
          </c:extLst>
        </c:ser>
        <c:dLbls>
          <c:showLegendKey val="0"/>
          <c:showVal val="0"/>
          <c:showCatName val="0"/>
          <c:showSerName val="0"/>
          <c:showPercent val="0"/>
          <c:showBubbleSize val="0"/>
        </c:dLbls>
        <c:gapWidth val="10"/>
        <c:overlap val="-27"/>
        <c:axId val="1047658640"/>
        <c:axId val="1047656240"/>
      </c:barChart>
      <c:catAx>
        <c:axId val="104765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56240"/>
        <c:crosses val="autoZero"/>
        <c:auto val="1"/>
        <c:lblAlgn val="ctr"/>
        <c:lblOffset val="100"/>
        <c:noMultiLvlLbl val="0"/>
      </c:catAx>
      <c:valAx>
        <c:axId val="10476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5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13</xdr:col>
      <xdr:colOff>115093</xdr:colOff>
      <xdr:row>18</xdr:row>
      <xdr:rowOff>26462</xdr:rowOff>
    </xdr:from>
    <xdr:to>
      <xdr:col>15</xdr:col>
      <xdr:colOff>11906</xdr:colOff>
      <xdr:row>27</xdr:row>
      <xdr:rowOff>59532</xdr:rowOff>
    </xdr:to>
    <mc:AlternateContent xmlns:mc="http://schemas.openxmlformats.org/markup-compatibility/2006" xmlns:a14="http://schemas.microsoft.com/office/drawing/2010/main">
      <mc:Choice Requires="a14">
        <xdr:graphicFrame macro="">
          <xdr:nvGraphicFramePr>
            <xdr:cNvPr id="27" name="Representative">
              <a:extLst>
                <a:ext uri="{FF2B5EF4-FFF2-40B4-BE49-F238E27FC236}">
                  <a16:creationId xmlns:a16="http://schemas.microsoft.com/office/drawing/2014/main" id="{87084A11-CFBA-4238-BE95-C66CF7F55E1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473156" y="3717400"/>
              <a:ext cx="1277938" cy="1747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21167</xdr:colOff>
      <xdr:row>17</xdr:row>
      <xdr:rowOff>0</xdr:rowOff>
    </xdr:from>
    <xdr:to>
      <xdr:col>13</xdr:col>
      <xdr:colOff>95250</xdr:colOff>
      <xdr:row>36</xdr:row>
      <xdr:rowOff>31750</xdr:rowOff>
    </xdr:to>
    <xdr:sp macro="" textlink="">
      <xdr:nvSpPr>
        <xdr:cNvPr id="28" name="TextBox 27">
          <a:extLst>
            <a:ext uri="{FF2B5EF4-FFF2-40B4-BE49-F238E27FC236}">
              <a16:creationId xmlns:a16="http://schemas.microsoft.com/office/drawing/2014/main" id="{7DFFB161-C71A-5269-93E4-632AE597CCD4}"/>
            </a:ext>
          </a:extLst>
        </xdr:cNvPr>
        <xdr:cNvSpPr txBox="1"/>
      </xdr:nvSpPr>
      <xdr:spPr>
        <a:xfrm>
          <a:off x="1830917" y="3238500"/>
          <a:ext cx="5535083" cy="3651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0</xdr:colOff>
      <xdr:row>2</xdr:row>
      <xdr:rowOff>190499</xdr:rowOff>
    </xdr:from>
    <xdr:to>
      <xdr:col>4</xdr:col>
      <xdr:colOff>0</xdr:colOff>
      <xdr:row>8</xdr:row>
      <xdr:rowOff>10582</xdr:rowOff>
    </xdr:to>
    <xdr:sp macro="" textlink="Pivots!A4">
      <xdr:nvSpPr>
        <xdr:cNvPr id="2" name="Rectangle 1">
          <a:extLst>
            <a:ext uri="{FF2B5EF4-FFF2-40B4-BE49-F238E27FC236}">
              <a16:creationId xmlns:a16="http://schemas.microsoft.com/office/drawing/2014/main" id="{0838BBEE-1351-18A3-A23D-4310CB208C6E}"/>
            </a:ext>
          </a:extLst>
        </xdr:cNvPr>
        <xdr:cNvSpPr/>
      </xdr:nvSpPr>
      <xdr:spPr>
        <a:xfrm>
          <a:off x="285750" y="571499"/>
          <a:ext cx="1375833" cy="963083"/>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CD72CA-D559-401F-BB42-0030FD10BF21}" type="TxLink">
            <a:rPr lang="en-US" sz="2800" b="1" i="0" u="none" strike="noStrike">
              <a:solidFill>
                <a:schemeClr val="bg1"/>
              </a:solidFill>
              <a:latin typeface="Aptos" panose="020B0004020202020204" pitchFamily="34" charset="0"/>
            </a:rPr>
            <a:pPr algn="ctr"/>
            <a:t>1,000</a:t>
          </a:fld>
          <a:endParaRPr lang="en-US" sz="2800" b="1">
            <a:solidFill>
              <a:schemeClr val="bg1"/>
            </a:solidFill>
            <a:latin typeface="Aptos" panose="020B0004020202020204" pitchFamily="34" charset="0"/>
          </a:endParaRPr>
        </a:p>
      </xdr:txBody>
    </xdr:sp>
    <xdr:clientData/>
  </xdr:twoCellAnchor>
  <xdr:twoCellAnchor>
    <xdr:from>
      <xdr:col>2</xdr:col>
      <xdr:colOff>179916</xdr:colOff>
      <xdr:row>3</xdr:row>
      <xdr:rowOff>52917</xdr:rowOff>
    </xdr:from>
    <xdr:to>
      <xdr:col>3</xdr:col>
      <xdr:colOff>507999</xdr:colOff>
      <xdr:row>4</xdr:row>
      <xdr:rowOff>95250</xdr:rowOff>
    </xdr:to>
    <xdr:sp macro="" textlink="">
      <xdr:nvSpPr>
        <xdr:cNvPr id="3" name="TextBox 2">
          <a:extLst>
            <a:ext uri="{FF2B5EF4-FFF2-40B4-BE49-F238E27FC236}">
              <a16:creationId xmlns:a16="http://schemas.microsoft.com/office/drawing/2014/main" id="{B6766895-EBA0-D826-0915-4EB8A48AEB06}"/>
            </a:ext>
          </a:extLst>
        </xdr:cNvPr>
        <xdr:cNvSpPr txBox="1"/>
      </xdr:nvSpPr>
      <xdr:spPr>
        <a:xfrm>
          <a:off x="465666" y="624417"/>
          <a:ext cx="10160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Calls</a:t>
          </a:r>
          <a:endParaRPr lang="en-US" sz="1400" b="1">
            <a:solidFill>
              <a:schemeClr val="bg1"/>
            </a:solidFill>
            <a:latin typeface="+mn-lt"/>
          </a:endParaRPr>
        </a:p>
      </xdr:txBody>
    </xdr:sp>
    <xdr:clientData/>
  </xdr:twoCellAnchor>
  <xdr:twoCellAnchor editAs="oneCell">
    <xdr:from>
      <xdr:col>2</xdr:col>
      <xdr:colOff>63501</xdr:colOff>
      <xdr:row>3</xdr:row>
      <xdr:rowOff>42336</xdr:rowOff>
    </xdr:from>
    <xdr:to>
      <xdr:col>2</xdr:col>
      <xdr:colOff>306915</xdr:colOff>
      <xdr:row>4</xdr:row>
      <xdr:rowOff>95250</xdr:rowOff>
    </xdr:to>
    <xdr:pic>
      <xdr:nvPicPr>
        <xdr:cNvPr id="4" name="Graphic 3" descr="Receiver with solid fill">
          <a:extLst>
            <a:ext uri="{FF2B5EF4-FFF2-40B4-BE49-F238E27FC236}">
              <a16:creationId xmlns:a16="http://schemas.microsoft.com/office/drawing/2014/main" id="{21305B15-0060-4FDA-95BE-F00A361E08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5400000">
          <a:off x="349251" y="613836"/>
          <a:ext cx="243414" cy="243414"/>
        </a:xfrm>
        <a:prstGeom prst="rect">
          <a:avLst/>
        </a:prstGeom>
      </xdr:spPr>
    </xdr:pic>
    <xdr:clientData/>
  </xdr:twoCellAnchor>
  <xdr:twoCellAnchor>
    <xdr:from>
      <xdr:col>2</xdr:col>
      <xdr:colOff>285750</xdr:colOff>
      <xdr:row>6</xdr:row>
      <xdr:rowOff>84667</xdr:rowOff>
    </xdr:from>
    <xdr:to>
      <xdr:col>3</xdr:col>
      <xdr:colOff>402166</xdr:colOff>
      <xdr:row>7</xdr:row>
      <xdr:rowOff>116417</xdr:rowOff>
    </xdr:to>
    <xdr:sp macro="" textlink="Pivots!A9">
      <xdr:nvSpPr>
        <xdr:cNvPr id="5" name="TextBox 4">
          <a:extLst>
            <a:ext uri="{FF2B5EF4-FFF2-40B4-BE49-F238E27FC236}">
              <a16:creationId xmlns:a16="http://schemas.microsoft.com/office/drawing/2014/main" id="{31952F9D-221A-6801-393D-88083A5808AA}"/>
            </a:ext>
          </a:extLst>
        </xdr:cNvPr>
        <xdr:cNvSpPr txBox="1"/>
      </xdr:nvSpPr>
      <xdr:spPr>
        <a:xfrm>
          <a:off x="571500" y="1227667"/>
          <a:ext cx="8043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FEAEA4-D958-4A72-915B-C25307A783DF}" type="TxLink">
            <a:rPr lang="en-US" sz="1100" b="1" i="0" u="none" strike="noStrike">
              <a:solidFill>
                <a:schemeClr val="accent6">
                  <a:lumMod val="20000"/>
                  <a:lumOff val="80000"/>
                </a:schemeClr>
              </a:solidFill>
              <a:latin typeface="Aptos"/>
            </a:rPr>
            <a:pPr algn="ctr"/>
            <a:t>189</a:t>
          </a:fld>
          <a:endParaRPr lang="en-US" sz="1100" b="1">
            <a:solidFill>
              <a:schemeClr val="accent6">
                <a:lumMod val="20000"/>
                <a:lumOff val="80000"/>
              </a:schemeClr>
            </a:solidFill>
          </a:endParaRPr>
        </a:p>
      </xdr:txBody>
    </xdr:sp>
    <xdr:clientData/>
  </xdr:twoCellAnchor>
  <xdr:twoCellAnchor>
    <xdr:from>
      <xdr:col>2</xdr:col>
      <xdr:colOff>0</xdr:colOff>
      <xdr:row>10</xdr:row>
      <xdr:rowOff>0</xdr:rowOff>
    </xdr:from>
    <xdr:to>
      <xdr:col>4</xdr:col>
      <xdr:colOff>0</xdr:colOff>
      <xdr:row>15</xdr:row>
      <xdr:rowOff>10583</xdr:rowOff>
    </xdr:to>
    <xdr:sp macro="" textlink="Pivots!B4">
      <xdr:nvSpPr>
        <xdr:cNvPr id="6" name="Rectangle 5">
          <a:extLst>
            <a:ext uri="{FF2B5EF4-FFF2-40B4-BE49-F238E27FC236}">
              <a16:creationId xmlns:a16="http://schemas.microsoft.com/office/drawing/2014/main" id="{C2B7A703-BA29-4F16-8858-D39985CF882E}"/>
            </a:ext>
          </a:extLst>
        </xdr:cNvPr>
        <xdr:cNvSpPr/>
      </xdr:nvSpPr>
      <xdr:spPr>
        <a:xfrm>
          <a:off x="285750" y="1905000"/>
          <a:ext cx="1375833" cy="963083"/>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58C57C-90FA-4E63-A617-AC87862E510D}" type="TxLink">
            <a:rPr lang="en-US" sz="2400" b="1" i="0" u="none" strike="noStrike">
              <a:solidFill>
                <a:schemeClr val="bg1"/>
              </a:solidFill>
              <a:latin typeface="Aptos"/>
            </a:rPr>
            <a:pPr algn="ctr"/>
            <a:t>$96,623</a:t>
          </a:fld>
          <a:endParaRPr lang="en-US" sz="2400" b="1">
            <a:solidFill>
              <a:schemeClr val="bg1"/>
            </a:solidFill>
            <a:latin typeface="Aptos" panose="020B0004020202020204" pitchFamily="34" charset="0"/>
          </a:endParaRPr>
        </a:p>
      </xdr:txBody>
    </xdr:sp>
    <xdr:clientData/>
  </xdr:twoCellAnchor>
  <xdr:twoCellAnchor>
    <xdr:from>
      <xdr:col>2</xdr:col>
      <xdr:colOff>187854</xdr:colOff>
      <xdr:row>10</xdr:row>
      <xdr:rowOff>52918</xdr:rowOff>
    </xdr:from>
    <xdr:to>
      <xdr:col>3</xdr:col>
      <xdr:colOff>494771</xdr:colOff>
      <xdr:row>11</xdr:row>
      <xdr:rowOff>158750</xdr:rowOff>
    </xdr:to>
    <xdr:sp macro="" textlink="">
      <xdr:nvSpPr>
        <xdr:cNvPr id="7" name="TextBox 6">
          <a:extLst>
            <a:ext uri="{FF2B5EF4-FFF2-40B4-BE49-F238E27FC236}">
              <a16:creationId xmlns:a16="http://schemas.microsoft.com/office/drawing/2014/main" id="{25740D8D-8B6D-4071-9605-67E1E48FEA5A}"/>
            </a:ext>
          </a:extLst>
        </xdr:cNvPr>
        <xdr:cNvSpPr txBox="1"/>
      </xdr:nvSpPr>
      <xdr:spPr>
        <a:xfrm>
          <a:off x="473604" y="1957918"/>
          <a:ext cx="989542"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Amount</a:t>
          </a:r>
          <a:endParaRPr lang="en-US" sz="1400" b="1">
            <a:solidFill>
              <a:schemeClr val="bg1"/>
            </a:solidFill>
            <a:latin typeface="+mn-lt"/>
          </a:endParaRPr>
        </a:p>
      </xdr:txBody>
    </xdr:sp>
    <xdr:clientData/>
  </xdr:twoCellAnchor>
  <xdr:twoCellAnchor>
    <xdr:from>
      <xdr:col>2</xdr:col>
      <xdr:colOff>285750</xdr:colOff>
      <xdr:row>13</xdr:row>
      <xdr:rowOff>84668</xdr:rowOff>
    </xdr:from>
    <xdr:to>
      <xdr:col>3</xdr:col>
      <xdr:colOff>402166</xdr:colOff>
      <xdr:row>14</xdr:row>
      <xdr:rowOff>116418</xdr:rowOff>
    </xdr:to>
    <xdr:sp macro="" textlink="Pivots!B9">
      <xdr:nvSpPr>
        <xdr:cNvPr id="9" name="TextBox 8">
          <a:extLst>
            <a:ext uri="{FF2B5EF4-FFF2-40B4-BE49-F238E27FC236}">
              <a16:creationId xmlns:a16="http://schemas.microsoft.com/office/drawing/2014/main" id="{1422A2BF-1991-40DE-AC1E-29CEFD2E6D0A}"/>
            </a:ext>
          </a:extLst>
        </xdr:cNvPr>
        <xdr:cNvSpPr txBox="1"/>
      </xdr:nvSpPr>
      <xdr:spPr>
        <a:xfrm>
          <a:off x="571500" y="2561168"/>
          <a:ext cx="8043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B925E2-C356-4515-AC97-648239C055F0}" type="TxLink">
            <a:rPr lang="en-US" sz="1100" b="1" i="0" u="none" strike="noStrike">
              <a:solidFill>
                <a:schemeClr val="accent6">
                  <a:lumMod val="20000"/>
                  <a:lumOff val="80000"/>
                </a:schemeClr>
              </a:solidFill>
              <a:latin typeface="Aptos"/>
            </a:rPr>
            <a:pPr algn="ctr"/>
            <a:t>$18,415</a:t>
          </a:fld>
          <a:endParaRPr lang="en-US" sz="1100" b="1">
            <a:solidFill>
              <a:schemeClr val="accent6">
                <a:lumMod val="20000"/>
                <a:lumOff val="80000"/>
              </a:schemeClr>
            </a:solidFill>
          </a:endParaRPr>
        </a:p>
      </xdr:txBody>
    </xdr:sp>
    <xdr:clientData/>
  </xdr:twoCellAnchor>
  <xdr:twoCellAnchor>
    <xdr:from>
      <xdr:col>2</xdr:col>
      <xdr:colOff>0</xdr:colOff>
      <xdr:row>17</xdr:row>
      <xdr:rowOff>0</xdr:rowOff>
    </xdr:from>
    <xdr:to>
      <xdr:col>4</xdr:col>
      <xdr:colOff>0</xdr:colOff>
      <xdr:row>22</xdr:row>
      <xdr:rowOff>10583</xdr:rowOff>
    </xdr:to>
    <xdr:sp macro="" textlink="Pivots!C4">
      <xdr:nvSpPr>
        <xdr:cNvPr id="14" name="Rectangle 13">
          <a:extLst>
            <a:ext uri="{FF2B5EF4-FFF2-40B4-BE49-F238E27FC236}">
              <a16:creationId xmlns:a16="http://schemas.microsoft.com/office/drawing/2014/main" id="{B75CBFC5-2A30-45D6-8D0F-0D98D5342D8E}"/>
            </a:ext>
          </a:extLst>
        </xdr:cNvPr>
        <xdr:cNvSpPr/>
      </xdr:nvSpPr>
      <xdr:spPr>
        <a:xfrm>
          <a:off x="285750" y="3238500"/>
          <a:ext cx="1375833" cy="963083"/>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685BBA-0497-4E26-ACCA-453D8DD7DEB2}" type="TxLink">
            <a:rPr lang="en-US" sz="2800" b="1" i="0" u="none" strike="noStrike">
              <a:solidFill>
                <a:schemeClr val="bg1"/>
              </a:solidFill>
              <a:latin typeface="Aptos"/>
            </a:rPr>
            <a:pPr algn="ctr"/>
            <a:t>89,850</a:t>
          </a:fld>
          <a:endParaRPr lang="en-US" sz="6000" b="1">
            <a:solidFill>
              <a:schemeClr val="bg1"/>
            </a:solidFill>
            <a:latin typeface="Aptos" panose="020B0004020202020204" pitchFamily="34" charset="0"/>
          </a:endParaRPr>
        </a:p>
      </xdr:txBody>
    </xdr:sp>
    <xdr:clientData/>
  </xdr:twoCellAnchor>
  <xdr:twoCellAnchor>
    <xdr:from>
      <xdr:col>2</xdr:col>
      <xdr:colOff>179916</xdr:colOff>
      <xdr:row>17</xdr:row>
      <xdr:rowOff>52918</xdr:rowOff>
    </xdr:from>
    <xdr:to>
      <xdr:col>3</xdr:col>
      <xdr:colOff>507999</xdr:colOff>
      <xdr:row>18</xdr:row>
      <xdr:rowOff>95251</xdr:rowOff>
    </xdr:to>
    <xdr:sp macro="" textlink="">
      <xdr:nvSpPr>
        <xdr:cNvPr id="15" name="TextBox 14">
          <a:extLst>
            <a:ext uri="{FF2B5EF4-FFF2-40B4-BE49-F238E27FC236}">
              <a16:creationId xmlns:a16="http://schemas.microsoft.com/office/drawing/2014/main" id="{89EF4184-A03B-4E19-A502-A2A6C8FC2CF1}"/>
            </a:ext>
          </a:extLst>
        </xdr:cNvPr>
        <xdr:cNvSpPr txBox="1"/>
      </xdr:nvSpPr>
      <xdr:spPr>
        <a:xfrm>
          <a:off x="465666" y="3291418"/>
          <a:ext cx="10160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Duration</a:t>
          </a:r>
          <a:endParaRPr lang="en-US" sz="1400" b="1">
            <a:solidFill>
              <a:schemeClr val="bg1"/>
            </a:solidFill>
            <a:latin typeface="+mn-lt"/>
          </a:endParaRPr>
        </a:p>
      </xdr:txBody>
    </xdr:sp>
    <xdr:clientData/>
  </xdr:twoCellAnchor>
  <xdr:twoCellAnchor editAs="oneCell">
    <xdr:from>
      <xdr:col>2</xdr:col>
      <xdr:colOff>25753</xdr:colOff>
      <xdr:row>17</xdr:row>
      <xdr:rowOff>48021</xdr:rowOff>
    </xdr:from>
    <xdr:to>
      <xdr:col>2</xdr:col>
      <xdr:colOff>280497</xdr:colOff>
      <xdr:row>18</xdr:row>
      <xdr:rowOff>112265</xdr:rowOff>
    </xdr:to>
    <xdr:pic>
      <xdr:nvPicPr>
        <xdr:cNvPr id="16" name="Graphic 15">
          <a:extLst>
            <a:ext uri="{FF2B5EF4-FFF2-40B4-BE49-F238E27FC236}">
              <a16:creationId xmlns:a16="http://schemas.microsoft.com/office/drawing/2014/main" id="{E1E2C892-5C31-46DA-ADAE-7F8E012EB8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1825559">
          <a:off x="311503" y="3286521"/>
          <a:ext cx="254744" cy="254744"/>
        </a:xfrm>
        <a:prstGeom prst="rect">
          <a:avLst/>
        </a:prstGeom>
      </xdr:spPr>
    </xdr:pic>
    <xdr:clientData/>
  </xdr:twoCellAnchor>
  <xdr:twoCellAnchor>
    <xdr:from>
      <xdr:col>2</xdr:col>
      <xdr:colOff>285750</xdr:colOff>
      <xdr:row>20</xdr:row>
      <xdr:rowOff>84668</xdr:rowOff>
    </xdr:from>
    <xdr:to>
      <xdr:col>3</xdr:col>
      <xdr:colOff>402166</xdr:colOff>
      <xdr:row>21</xdr:row>
      <xdr:rowOff>116418</xdr:rowOff>
    </xdr:to>
    <xdr:sp macro="" textlink="Pivots!C9">
      <xdr:nvSpPr>
        <xdr:cNvPr id="17" name="TextBox 16">
          <a:extLst>
            <a:ext uri="{FF2B5EF4-FFF2-40B4-BE49-F238E27FC236}">
              <a16:creationId xmlns:a16="http://schemas.microsoft.com/office/drawing/2014/main" id="{094C08F7-6856-466D-828D-B20CBC904A82}"/>
            </a:ext>
          </a:extLst>
        </xdr:cNvPr>
        <xdr:cNvSpPr txBox="1"/>
      </xdr:nvSpPr>
      <xdr:spPr>
        <a:xfrm>
          <a:off x="571500" y="3894668"/>
          <a:ext cx="8043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A10115-02C4-451D-92D7-31D2AFFDF12D}" type="TxLink">
            <a:rPr lang="en-US" sz="1100" b="1" i="0" u="none" strike="noStrike">
              <a:solidFill>
                <a:schemeClr val="accent6">
                  <a:lumMod val="20000"/>
                  <a:lumOff val="80000"/>
                </a:schemeClr>
              </a:solidFill>
              <a:latin typeface="Aptos"/>
            </a:rPr>
            <a:pPr algn="ctr"/>
            <a:t>16,834</a:t>
          </a:fld>
          <a:endParaRPr lang="en-US" sz="1100" b="1">
            <a:solidFill>
              <a:schemeClr val="accent6">
                <a:lumMod val="20000"/>
                <a:lumOff val="80000"/>
              </a:schemeClr>
            </a:solidFill>
          </a:endParaRPr>
        </a:p>
      </xdr:txBody>
    </xdr:sp>
    <xdr:clientData/>
  </xdr:twoCellAnchor>
  <xdr:twoCellAnchor>
    <xdr:from>
      <xdr:col>2</xdr:col>
      <xdr:colOff>0</xdr:colOff>
      <xdr:row>24</xdr:row>
      <xdr:rowOff>0</xdr:rowOff>
    </xdr:from>
    <xdr:to>
      <xdr:col>4</xdr:col>
      <xdr:colOff>0</xdr:colOff>
      <xdr:row>29</xdr:row>
      <xdr:rowOff>10583</xdr:rowOff>
    </xdr:to>
    <xdr:sp macro="" textlink="Pivots!D4">
      <xdr:nvSpPr>
        <xdr:cNvPr id="18" name="Rectangle 17">
          <a:extLst>
            <a:ext uri="{FF2B5EF4-FFF2-40B4-BE49-F238E27FC236}">
              <a16:creationId xmlns:a16="http://schemas.microsoft.com/office/drawing/2014/main" id="{98311610-90D5-49A4-920D-398B2EECCDAF}"/>
            </a:ext>
          </a:extLst>
        </xdr:cNvPr>
        <xdr:cNvSpPr/>
      </xdr:nvSpPr>
      <xdr:spPr>
        <a:xfrm>
          <a:off x="285750" y="4572000"/>
          <a:ext cx="1375833" cy="963083"/>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08A246-A547-4EC1-893B-8231B5E21A78}" type="TxLink">
            <a:rPr lang="en-US" sz="2800" b="1" i="0" u="none" strike="noStrike">
              <a:solidFill>
                <a:schemeClr val="bg1"/>
              </a:solidFill>
              <a:latin typeface="Aptos"/>
            </a:rPr>
            <a:pPr algn="ctr"/>
            <a:t>3.9</a:t>
          </a:fld>
          <a:endParaRPr lang="en-US" sz="6000" b="1">
            <a:solidFill>
              <a:schemeClr val="bg1"/>
            </a:solidFill>
            <a:latin typeface="Aptos" panose="020B0004020202020204" pitchFamily="34" charset="0"/>
          </a:endParaRPr>
        </a:p>
      </xdr:txBody>
    </xdr:sp>
    <xdr:clientData/>
  </xdr:twoCellAnchor>
  <xdr:twoCellAnchor>
    <xdr:from>
      <xdr:col>2</xdr:col>
      <xdr:colOff>31751</xdr:colOff>
      <xdr:row>24</xdr:row>
      <xdr:rowOff>52919</xdr:rowOff>
    </xdr:from>
    <xdr:to>
      <xdr:col>4</xdr:col>
      <xdr:colOff>47625</xdr:colOff>
      <xdr:row>25</xdr:row>
      <xdr:rowOff>95250</xdr:rowOff>
    </xdr:to>
    <xdr:sp macro="" textlink="">
      <xdr:nvSpPr>
        <xdr:cNvPr id="19" name="TextBox 18">
          <a:extLst>
            <a:ext uri="{FF2B5EF4-FFF2-40B4-BE49-F238E27FC236}">
              <a16:creationId xmlns:a16="http://schemas.microsoft.com/office/drawing/2014/main" id="{866A94B6-78ED-42BD-8660-985FD68E19A3}"/>
            </a:ext>
          </a:extLst>
        </xdr:cNvPr>
        <xdr:cNvSpPr txBox="1"/>
      </xdr:nvSpPr>
      <xdr:spPr>
        <a:xfrm>
          <a:off x="317501" y="4624919"/>
          <a:ext cx="1381124" cy="232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Avg. </a:t>
          </a:r>
          <a:r>
            <a:rPr lang="en-US" sz="1200" b="1">
              <a:solidFill>
                <a:schemeClr val="bg1"/>
              </a:solidFill>
              <a:latin typeface="+mn-lt"/>
            </a:rPr>
            <a:t>Rating</a:t>
          </a:r>
          <a:endParaRPr lang="en-US" sz="1400" b="1">
            <a:solidFill>
              <a:schemeClr val="bg1"/>
            </a:solidFill>
            <a:latin typeface="+mn-lt"/>
          </a:endParaRPr>
        </a:p>
      </xdr:txBody>
    </xdr:sp>
    <xdr:clientData/>
  </xdr:twoCellAnchor>
  <xdr:twoCellAnchor editAs="oneCell">
    <xdr:from>
      <xdr:col>2</xdr:col>
      <xdr:colOff>63501</xdr:colOff>
      <xdr:row>24</xdr:row>
      <xdr:rowOff>42337</xdr:rowOff>
    </xdr:from>
    <xdr:to>
      <xdr:col>2</xdr:col>
      <xdr:colOff>254959</xdr:colOff>
      <xdr:row>25</xdr:row>
      <xdr:rowOff>43295</xdr:rowOff>
    </xdr:to>
    <xdr:pic>
      <xdr:nvPicPr>
        <xdr:cNvPr id="20" name="Graphic 19">
          <a:extLst>
            <a:ext uri="{FF2B5EF4-FFF2-40B4-BE49-F238E27FC236}">
              <a16:creationId xmlns:a16="http://schemas.microsoft.com/office/drawing/2014/main" id="{A5808910-D6E3-4E14-B2BE-3C25E9CA76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49251" y="4614337"/>
          <a:ext cx="191458" cy="191458"/>
        </a:xfrm>
        <a:prstGeom prst="rect">
          <a:avLst/>
        </a:prstGeom>
      </xdr:spPr>
    </xdr:pic>
    <xdr:clientData/>
  </xdr:twoCellAnchor>
  <xdr:twoCellAnchor>
    <xdr:from>
      <xdr:col>2</xdr:col>
      <xdr:colOff>285750</xdr:colOff>
      <xdr:row>27</xdr:row>
      <xdr:rowOff>84668</xdr:rowOff>
    </xdr:from>
    <xdr:to>
      <xdr:col>3</xdr:col>
      <xdr:colOff>402166</xdr:colOff>
      <xdr:row>28</xdr:row>
      <xdr:rowOff>116418</xdr:rowOff>
    </xdr:to>
    <xdr:sp macro="" textlink="Pivots!D9">
      <xdr:nvSpPr>
        <xdr:cNvPr id="21" name="TextBox 20">
          <a:extLst>
            <a:ext uri="{FF2B5EF4-FFF2-40B4-BE49-F238E27FC236}">
              <a16:creationId xmlns:a16="http://schemas.microsoft.com/office/drawing/2014/main" id="{B5BC819B-DE19-4A93-BD57-2015BE03001D}"/>
            </a:ext>
          </a:extLst>
        </xdr:cNvPr>
        <xdr:cNvSpPr txBox="1"/>
      </xdr:nvSpPr>
      <xdr:spPr>
        <a:xfrm>
          <a:off x="571500" y="5228168"/>
          <a:ext cx="8043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E0F485-C34F-4290-A97B-9301035C9F99}" type="TxLink">
            <a:rPr lang="en-US" sz="1100" b="1" i="0" u="none" strike="noStrike">
              <a:solidFill>
                <a:schemeClr val="accent6">
                  <a:lumMod val="20000"/>
                  <a:lumOff val="80000"/>
                </a:schemeClr>
              </a:solidFill>
              <a:latin typeface="Aptos"/>
            </a:rPr>
            <a:pPr algn="ctr"/>
            <a:t>3.9</a:t>
          </a:fld>
          <a:endParaRPr lang="en-US" sz="1100" b="1">
            <a:solidFill>
              <a:schemeClr val="accent6">
                <a:lumMod val="20000"/>
                <a:lumOff val="80000"/>
              </a:schemeClr>
            </a:solidFill>
          </a:endParaRPr>
        </a:p>
      </xdr:txBody>
    </xdr:sp>
    <xdr:clientData/>
  </xdr:twoCellAnchor>
  <xdr:twoCellAnchor>
    <xdr:from>
      <xdr:col>2</xdr:col>
      <xdr:colOff>1</xdr:colOff>
      <xdr:row>31</xdr:row>
      <xdr:rowOff>0</xdr:rowOff>
    </xdr:from>
    <xdr:to>
      <xdr:col>4</xdr:col>
      <xdr:colOff>1</xdr:colOff>
      <xdr:row>36</xdr:row>
      <xdr:rowOff>10583</xdr:rowOff>
    </xdr:to>
    <xdr:sp macro="" textlink="Pivots!E4">
      <xdr:nvSpPr>
        <xdr:cNvPr id="22" name="Rectangle 21">
          <a:extLst>
            <a:ext uri="{FF2B5EF4-FFF2-40B4-BE49-F238E27FC236}">
              <a16:creationId xmlns:a16="http://schemas.microsoft.com/office/drawing/2014/main" id="{226AD70C-3812-4102-9EC0-7D1BB4D757D7}"/>
            </a:ext>
          </a:extLst>
        </xdr:cNvPr>
        <xdr:cNvSpPr/>
      </xdr:nvSpPr>
      <xdr:spPr>
        <a:xfrm>
          <a:off x="285751" y="6167438"/>
          <a:ext cx="1381125" cy="963083"/>
        </a:xfrm>
        <a:prstGeom prst="rect">
          <a:avLst/>
        </a:prstGeom>
        <a:solidFill>
          <a:schemeClr val="accent6"/>
        </a:solidFill>
        <a:ln>
          <a:noFill/>
        </a:ln>
        <a:effectLst>
          <a:outerShdw blurRad="2540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C37CA0-10FA-4DD6-9C96-84B850A87EB2}" type="TxLink">
            <a:rPr lang="en-US" sz="2400" b="0" i="0" u="none" strike="noStrike">
              <a:solidFill>
                <a:schemeClr val="bg1"/>
              </a:solidFill>
              <a:latin typeface="Aptos"/>
            </a:rPr>
            <a:pPr algn="ctr"/>
            <a:t>307</a:t>
          </a:fld>
          <a:endParaRPr lang="en-US" sz="5400" b="1">
            <a:solidFill>
              <a:schemeClr val="bg1"/>
            </a:solidFill>
            <a:latin typeface="Aptos" panose="020B0004020202020204" pitchFamily="34" charset="0"/>
          </a:endParaRPr>
        </a:p>
      </xdr:txBody>
    </xdr:sp>
    <xdr:clientData/>
  </xdr:twoCellAnchor>
  <xdr:twoCellAnchor>
    <xdr:from>
      <xdr:col>2</xdr:col>
      <xdr:colOff>89958</xdr:colOff>
      <xdr:row>31</xdr:row>
      <xdr:rowOff>52918</xdr:rowOff>
    </xdr:from>
    <xdr:to>
      <xdr:col>4</xdr:col>
      <xdr:colOff>52917</xdr:colOff>
      <xdr:row>32</xdr:row>
      <xdr:rowOff>111125</xdr:rowOff>
    </xdr:to>
    <xdr:sp macro="" textlink="">
      <xdr:nvSpPr>
        <xdr:cNvPr id="23" name="TextBox 22">
          <a:extLst>
            <a:ext uri="{FF2B5EF4-FFF2-40B4-BE49-F238E27FC236}">
              <a16:creationId xmlns:a16="http://schemas.microsoft.com/office/drawing/2014/main" id="{70B8883E-3CD6-4D77-98CB-F84F5BF68229}"/>
            </a:ext>
          </a:extLst>
        </xdr:cNvPr>
        <xdr:cNvSpPr txBox="1"/>
      </xdr:nvSpPr>
      <xdr:spPr>
        <a:xfrm>
          <a:off x="375708" y="5958418"/>
          <a:ext cx="1328209" cy="248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mn-lt"/>
            </a:rPr>
            <a:t>Happy </a:t>
          </a:r>
          <a:r>
            <a:rPr lang="en-US" sz="1200" b="1">
              <a:solidFill>
                <a:schemeClr val="bg1"/>
              </a:solidFill>
              <a:latin typeface="+mn-lt"/>
            </a:rPr>
            <a:t>Callers</a:t>
          </a:r>
          <a:endParaRPr lang="en-US" sz="1100" b="1">
            <a:solidFill>
              <a:schemeClr val="bg1"/>
            </a:solidFill>
            <a:latin typeface="+mn-lt"/>
          </a:endParaRPr>
        </a:p>
      </xdr:txBody>
    </xdr:sp>
    <xdr:clientData/>
  </xdr:twoCellAnchor>
  <xdr:twoCellAnchor editAs="oneCell">
    <xdr:from>
      <xdr:col>2</xdr:col>
      <xdr:colOff>63501</xdr:colOff>
      <xdr:row>31</xdr:row>
      <xdr:rowOff>42337</xdr:rowOff>
    </xdr:from>
    <xdr:to>
      <xdr:col>2</xdr:col>
      <xdr:colOff>280937</xdr:colOff>
      <xdr:row>32</xdr:row>
      <xdr:rowOff>69273</xdr:rowOff>
    </xdr:to>
    <xdr:pic>
      <xdr:nvPicPr>
        <xdr:cNvPr id="24" name="Graphic 23">
          <a:extLst>
            <a:ext uri="{FF2B5EF4-FFF2-40B4-BE49-F238E27FC236}">
              <a16:creationId xmlns:a16="http://schemas.microsoft.com/office/drawing/2014/main" id="{051BEAD7-A919-4101-A4B3-637557A2B2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49251" y="5947837"/>
          <a:ext cx="217436" cy="217436"/>
        </a:xfrm>
        <a:prstGeom prst="rect">
          <a:avLst/>
        </a:prstGeom>
      </xdr:spPr>
    </xdr:pic>
    <xdr:clientData/>
  </xdr:twoCellAnchor>
  <xdr:twoCellAnchor>
    <xdr:from>
      <xdr:col>2</xdr:col>
      <xdr:colOff>285750</xdr:colOff>
      <xdr:row>34</xdr:row>
      <xdr:rowOff>84668</xdr:rowOff>
    </xdr:from>
    <xdr:to>
      <xdr:col>3</xdr:col>
      <xdr:colOff>402166</xdr:colOff>
      <xdr:row>35</xdr:row>
      <xdr:rowOff>116418</xdr:rowOff>
    </xdr:to>
    <xdr:sp macro="" textlink="Pivots!E9">
      <xdr:nvSpPr>
        <xdr:cNvPr id="25" name="TextBox 24">
          <a:extLst>
            <a:ext uri="{FF2B5EF4-FFF2-40B4-BE49-F238E27FC236}">
              <a16:creationId xmlns:a16="http://schemas.microsoft.com/office/drawing/2014/main" id="{8C48FA15-91E9-4139-812D-327B278021DD}"/>
            </a:ext>
          </a:extLst>
        </xdr:cNvPr>
        <xdr:cNvSpPr txBox="1"/>
      </xdr:nvSpPr>
      <xdr:spPr>
        <a:xfrm>
          <a:off x="571500" y="6561668"/>
          <a:ext cx="804333"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178AA-BF4C-4BC4-A5B0-E5B30C16A0AA}" type="TxLink">
            <a:rPr lang="en-US" sz="1100" b="1" i="0" u="none" strike="noStrike">
              <a:solidFill>
                <a:schemeClr val="accent6">
                  <a:lumMod val="20000"/>
                  <a:lumOff val="80000"/>
                </a:schemeClr>
              </a:solidFill>
              <a:latin typeface="Aptos"/>
            </a:rPr>
            <a:pPr algn="ctr"/>
            <a:t>60</a:t>
          </a:fld>
          <a:endParaRPr lang="en-US" sz="1100" b="1">
            <a:solidFill>
              <a:schemeClr val="accent6">
                <a:lumMod val="20000"/>
                <a:lumOff val="80000"/>
              </a:schemeClr>
            </a:solidFill>
          </a:endParaRPr>
        </a:p>
      </xdr:txBody>
    </xdr:sp>
    <xdr:clientData/>
  </xdr:twoCellAnchor>
  <xdr:twoCellAnchor editAs="oneCell">
    <xdr:from>
      <xdr:col>1</xdr:col>
      <xdr:colOff>152255</xdr:colOff>
      <xdr:row>10</xdr:row>
      <xdr:rowOff>7216</xdr:rowOff>
    </xdr:from>
    <xdr:to>
      <xdr:col>2</xdr:col>
      <xdr:colOff>244619</xdr:colOff>
      <xdr:row>11</xdr:row>
      <xdr:rowOff>69273</xdr:rowOff>
    </xdr:to>
    <xdr:pic>
      <xdr:nvPicPr>
        <xdr:cNvPr id="26" name="Graphic 25">
          <a:extLst>
            <a:ext uri="{FF2B5EF4-FFF2-40B4-BE49-F238E27FC236}">
              <a16:creationId xmlns:a16="http://schemas.microsoft.com/office/drawing/2014/main" id="{0D6D7C32-F12D-4330-A90C-D322954723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77812" y="1912216"/>
          <a:ext cx="252557" cy="252557"/>
        </a:xfrm>
        <a:prstGeom prst="rect">
          <a:avLst/>
        </a:prstGeom>
      </xdr:spPr>
    </xdr:pic>
    <xdr:clientData/>
  </xdr:twoCellAnchor>
  <xdr:twoCellAnchor>
    <xdr:from>
      <xdr:col>12</xdr:col>
      <xdr:colOff>15875</xdr:colOff>
      <xdr:row>4</xdr:row>
      <xdr:rowOff>52918</xdr:rowOff>
    </xdr:from>
    <xdr:to>
      <xdr:col>15</xdr:col>
      <xdr:colOff>89958</xdr:colOff>
      <xdr:row>13</xdr:row>
      <xdr:rowOff>169336</xdr:rowOff>
    </xdr:to>
    <xdr:graphicFrame macro="">
      <xdr:nvGraphicFramePr>
        <xdr:cNvPr id="11" name="Chart 10">
          <a:extLst>
            <a:ext uri="{FF2B5EF4-FFF2-40B4-BE49-F238E27FC236}">
              <a16:creationId xmlns:a16="http://schemas.microsoft.com/office/drawing/2014/main" id="{3A8D8513-06FA-42A1-9377-498084E00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3</xdr:row>
      <xdr:rowOff>0</xdr:rowOff>
    </xdr:from>
    <xdr:to>
      <xdr:col>12</xdr:col>
      <xdr:colOff>63500</xdr:colOff>
      <xdr:row>15</xdr:row>
      <xdr:rowOff>15875</xdr:rowOff>
    </xdr:to>
    <xdr:graphicFrame macro="">
      <xdr:nvGraphicFramePr>
        <xdr:cNvPr id="10" name="Chart 9">
          <a:extLst>
            <a:ext uri="{FF2B5EF4-FFF2-40B4-BE49-F238E27FC236}">
              <a16:creationId xmlns:a16="http://schemas.microsoft.com/office/drawing/2014/main" id="{E838AC83-B12C-4FBD-A8A1-BBF4BD4A9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611187</xdr:colOff>
      <xdr:row>17</xdr:row>
      <xdr:rowOff>529</xdr:rowOff>
    </xdr:from>
    <xdr:to>
      <xdr:col>13</xdr:col>
      <xdr:colOff>95249</xdr:colOff>
      <xdr:row>36</xdr:row>
      <xdr:rowOff>47625</xdr:rowOff>
    </xdr:to>
    <xdr:graphicFrame macro="">
      <xdr:nvGraphicFramePr>
        <xdr:cNvPr id="12" name="Chart 11">
          <a:extLst>
            <a:ext uri="{FF2B5EF4-FFF2-40B4-BE49-F238E27FC236}">
              <a16:creationId xmlns:a16="http://schemas.microsoft.com/office/drawing/2014/main" id="{E9D9F5C6-18FA-4AC2-BB2E-15641478D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153458</xdr:colOff>
      <xdr:row>16</xdr:row>
      <xdr:rowOff>174626</xdr:rowOff>
    </xdr:from>
    <xdr:to>
      <xdr:col>9</xdr:col>
      <xdr:colOff>161395</xdr:colOff>
      <xdr:row>36</xdr:row>
      <xdr:rowOff>31222</xdr:rowOff>
    </xdr:to>
    <xdr:graphicFrame macro="">
      <xdr:nvGraphicFramePr>
        <xdr:cNvPr id="13" name="Chart 12">
          <a:extLst>
            <a:ext uri="{FF2B5EF4-FFF2-40B4-BE49-F238E27FC236}">
              <a16:creationId xmlns:a16="http://schemas.microsoft.com/office/drawing/2014/main" id="{75B963F6-1B29-455B-AF22-A5BC4630A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31751</xdr:colOff>
      <xdr:row>2</xdr:row>
      <xdr:rowOff>142875</xdr:rowOff>
    </xdr:from>
    <xdr:to>
      <xdr:col>19</xdr:col>
      <xdr:colOff>111125</xdr:colOff>
      <xdr:row>15</xdr:row>
      <xdr:rowOff>31750</xdr:rowOff>
    </xdr:to>
    <xdr:graphicFrame macro="">
      <xdr:nvGraphicFramePr>
        <xdr:cNvPr id="30" name="Chart 29">
          <a:extLst>
            <a:ext uri="{FF2B5EF4-FFF2-40B4-BE49-F238E27FC236}">
              <a16:creationId xmlns:a16="http://schemas.microsoft.com/office/drawing/2014/main" id="{0F95D001-E83D-421D-BFB2-565DBE8DF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190500</xdr:colOff>
      <xdr:row>2</xdr:row>
      <xdr:rowOff>142875</xdr:rowOff>
    </xdr:from>
    <xdr:to>
      <xdr:col>23</xdr:col>
      <xdr:colOff>15875</xdr:colOff>
      <xdr:row>15</xdr:row>
      <xdr:rowOff>31749</xdr:rowOff>
    </xdr:to>
    <xdr:graphicFrame macro="">
      <xdr:nvGraphicFramePr>
        <xdr:cNvPr id="31" name="Chart 30">
          <a:extLst>
            <a:ext uri="{FF2B5EF4-FFF2-40B4-BE49-F238E27FC236}">
              <a16:creationId xmlns:a16="http://schemas.microsoft.com/office/drawing/2014/main" id="{E64120AA-0303-4E55-9C23-B96BCF33F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7457" y="3300959"/>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133046064817" backgroundQuery="1" createdVersion="8" refreshedVersion="8" minRefreshableVersion="3" recordCount="0" supportSubquery="1" supportAdvancedDrill="1" xr:uid="{D3762BD5-5920-4D6D-BC70-8BA22CBB1CC4}">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133063310182" backgroundQuery="1" createdVersion="8" refreshedVersion="8" minRefreshableVersion="3" recordCount="0" supportSubquery="1" supportAdvancedDrill="1" xr:uid="{04DCF4EC-7F75-4621-9C72-22157E4F41F9}">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 Calls]" caption="5 *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133065509261" backgroundQuery="1" createdVersion="8" refreshedVersion="8" minRefreshableVersion="3" recordCount="0" supportSubquery="1" supportAdvancedDrill="1" xr:uid="{DC331CB2-66A6-498A-848E-36E4CEB66053}">
  <cacheSource type="external" connectionId="1"/>
  <cacheFields count="3">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Measures].[Calls Count]" caption="Calls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133068287039" backgroundQuery="1" createdVersion="8" refreshedVersion="8" minRefreshableVersion="3" recordCount="0" supportSubquery="1" supportAdvancedDrill="1" xr:uid="{AF1F038A-FA04-444E-BE2C-192BD4CFF939}">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ount of Call number]" caption="Count of Call number" numFmtId="0" hierarchy="26"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360137268515" backgroundQuery="1" createdVersion="8" refreshedVersion="8" minRefreshableVersion="3" recordCount="0" supportSubquery="1" supportAdvancedDrill="1" xr:uid="{CF67B18B-B6BB-4AB3-89A7-A10861B1591A}">
  <cacheSource type="external" connectionId="1"/>
  <cacheFields count="7">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 Calls]" caption="5 * Calls" numFmtId="0" hierarchy="21" level="32767"/>
    <cacheField name="[calls].[Satisfaction Rating].[Satisfaction Rating]" caption="Satisfaction Rating" numFmtId="0" hierarchy="6" level="1">
      <sharedItems containsSemiMixedTypes="0" containsNonDate="0" containsString="0"/>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6"/>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fieldsUsage count="2">
        <fieldUsage x="-1"/>
        <fieldUsage x="5"/>
      </fieldsUsage>
    </cacheHierarchy>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360137615738" backgroundQuery="1" createdVersion="8" refreshedVersion="8" minRefreshableVersion="3" recordCount="0" supportSubquery="1" supportAdvancedDrill="1" xr:uid="{ED8AE334-32E6-4E84-9ECB-8B2545CA953C}">
  <cacheSource type="external" connectionId="1"/>
  <cacheFields count="6">
    <cacheField name="[calls].[Satisfaction Rating].[Satisfaction Rating]" caption="Satisfaction Rating" numFmtId="0" hierarchy="6" level="1">
      <sharedItems containsSemiMixedTypes="0" containsNonDate="0" containsString="0"/>
    </cacheField>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4-01T00:00:00" maxDate="2023-04-30T00:00:00" count="21">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fieldsUsage count="2">
        <fieldUsage x="-1"/>
        <fieldUsage x="0"/>
      </fieldsUsage>
    </cacheHierarchy>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4"/>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360137962962" backgroundQuery="1" createdVersion="8" refreshedVersion="8" minRefreshableVersion="3" recordCount="0" supportSubquery="1" supportAdvancedDrill="1" xr:uid="{7D2D0350-09B2-4DFE-99E3-047CA1564D78}">
  <cacheSource type="external" connectionId="1"/>
  <cacheFields count="4">
    <cacheField name="[calls].[Satisfaction Rating].[Satisfaction Rating]" caption="Satisfaction Rating" numFmtId="0" hierarchy="6" level="1">
      <sharedItems containsSemiMixedTypes="0" containsNonDate="0" containsString="0"/>
    </cacheField>
    <cacheField name="[Measures].[Calls Count]" caption="Calls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fieldsUsage count="2">
        <fieldUsage x="-1"/>
        <fieldUsage x="0"/>
      </fieldsUsage>
    </cacheHierarchy>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360138310185" backgroundQuery="1" createdVersion="8" refreshedVersion="8" minRefreshableVersion="3" recordCount="0" supportSubquery="1" supportAdvancedDrill="1" xr:uid="{CED5D6D1-5154-4F80-A4B5-FB8D06AD5F9B}">
  <cacheSource type="external" connectionId="1"/>
  <cacheFields count="1">
    <cacheField name="[calls].[Representative].[Representative]" caption="Representative" numFmtId="0" hierarchy="3" level="1">
      <sharedItems count="1">
        <s v="R01"/>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360138657408" backgroundQuery="1" createdVersion="8" refreshedVersion="8" minRefreshableVersion="3" recordCount="0" supportSubquery="1" supportAdvancedDrill="1" xr:uid="{AA89A890-0ACB-493E-8F17-BEB9A8A09ED4}">
  <cacheSource type="external" connectionId="1"/>
  <cacheFields count="3">
    <cacheField name="[Measures].[Count of Call number]" caption="Count of Call number" numFmtId="0" hierarchy="26"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133048263888" backgroundQuery="1" createdVersion="3" refreshedVersion="8" minRefreshableVersion="3" recordCount="0" supportSubquery="1" supportAdvancedDrill="1" xr:uid="{1A3FCD17-CA58-4037-830D-BC7803D2533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7872223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4A0092-7AF4-434D-9C16-0B1AA101458F}"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42:D4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Count of Call number" fld="2" subtotal="count" baseField="0" baseItem="0"/>
  </dataFields>
  <chartFormats count="2">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31A35-4B78-4F27-99B2-850CF0329A50}" name="Call Summary"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2CCC9-019A-4820-A9BC-7001F625B4DC}"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1">
  <location ref="A13:C26" firstHeaderRow="0" firstDataRow="1" firstDataCol="1"/>
  <pivotFields count="6">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fld="4" subtotal="count" baseField="0" baseItem="0"/>
    <dataField name="Calls Count2" fld="5" subtotal="count" baseField="0" baseItem="0">
      <extLst>
        <ext xmlns:x14="http://schemas.microsoft.com/office/spreadsheetml/2009/9/main" uri="{E15A36E0-9728-4e99-A89B-3F7291B0FE68}">
          <x14:dataField sourceField="4" uniqueName="[__Xl2].[Measures].[Calls Count]"/>
        </ext>
      </extLst>
    </dataField>
  </dataFields>
  <chartFormats count="10">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1"/>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1"/>
          </reference>
        </references>
      </pivotArea>
    </chartFormat>
    <chartFormat chart="50"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multipleItemSelectionAllowed="1" dragToData="1">
      <members count="1" level="1">
        <member name="[calls].[Satisfaction Rating].&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141EB-C7BC-4F90-BFFC-1D7DF1DFD269}" name="Selected Rep"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6:A3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F5316D-97D6-4672-A929-B36B3F41BADB}" name="Reps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9:C3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8BDD4-9D04-4B1D-9248-A9D568370192}" name="Weekly 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1">
  <location ref="E13:F2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7">
        <item x="2"/>
        <item x="0"/>
        <item x="4"/>
        <item x="6"/>
        <item x="5"/>
        <item x="1"/>
        <item x="3"/>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fld="1" subtotal="count" baseField="0" baseItem="0"/>
  </dataFields>
  <chartFormats count="12">
    <chartFormat chart="5"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multipleItemSelectionAllowed="1" dragToData="1">
      <members count="1" level="1">
        <member name="[calls].[Satisfaction Rating].&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7C2858-6B48-4F81-93A1-0B6DF263EDC1}" name="PivotTable7" cacheId="1" applyNumberFormats="0" applyBorderFormats="0" applyFontFormats="0" applyPatternFormats="0" applyAlignmentFormats="0" applyWidthHeightFormats="1" dataCaption="Values" updatedVersion="8" minRefreshableVersion="3" useAutoFormatting="1" pageWrap="1" subtotalHiddenItems="1" rowGrandTotals="0" itemPrintTitles="1" createdVersion="8" indent="0" outline="1" outlineData="1" multipleFieldFilters="0" chartFormat="21">
  <location ref="A59:G7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28B636-CC66-4C2C-B1BD-7FBC787C22B3}" name="Rep Rating" cacheId="9" applyNumberFormats="0" applyBorderFormats="0" applyFontFormats="0" applyPatternFormats="0" applyAlignmentFormats="0" applyWidthHeightFormats="1" dataCaption="Values" updatedVersion="8" minRefreshableVersion="3" useAutoFormatting="1" pageWrap="1" subtotalHiddenItems="1" itemPrintTitles="1" createdVersion="8" indent="0" outline="1" outlineData="1" multipleFieldFilters="0" chartFormat="21">
  <location ref="A51:B5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ll number" fld="0"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A1976C-3F3D-42C0-884D-67CB966A4E68}" name="Rep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multipleItemSelectionAllowed="1" dragToData="1">
      <members count="1" level="1">
        <member name="[calls].[Satisfaction Rating].&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6C4E083-5BDA-4C3A-BCE7-A6F74A8FE9BB}" sourceName="[calls].[Representative]">
  <pivotTables>
    <pivotTable tabId="6" name="Rep Pivot"/>
    <pivotTable tabId="6" name="Monthly Trend"/>
    <pivotTable tabId="6" name="Weekly Trend"/>
    <pivotTable tabId="6" name="Selected Rep"/>
    <pivotTable tabId="6" name="Rep Rating"/>
  </pivotTables>
  <data>
    <olap pivotCacheId="178722238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57286EA-ACDB-44B0-8C22-72CDE841971F}" cache="Slicer_Representative" caption="Representative" showCaption="0" level="1"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75" zoomScaleNormal="75" workbookViewId="0">
      <selection activeCell="B10" sqref="B10"/>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3F2F-7E04-44D3-8CB4-90D30F3A7240}">
  <dimension ref="A3:I78"/>
  <sheetViews>
    <sheetView topLeftCell="A16" workbookViewId="0">
      <selection activeCell="H31" sqref="H31"/>
    </sheetView>
  </sheetViews>
  <sheetFormatPr defaultRowHeight="15" x14ac:dyDescent="0.25"/>
  <cols>
    <col min="1" max="1" width="12.625" bestFit="1" customWidth="1"/>
    <col min="2" max="2" width="19.5" bestFit="1" customWidth="1"/>
    <col min="3" max="3" width="12" bestFit="1" customWidth="1"/>
    <col min="4" max="4" width="13.625" bestFit="1" customWidth="1"/>
    <col min="5" max="5" width="12.625" bestFit="1" customWidth="1"/>
    <col min="6" max="6" width="11" bestFit="1" customWidth="1"/>
    <col min="7" max="7" width="10.875" bestFit="1" customWidth="1"/>
    <col min="8" max="8" width="13.25" customWidth="1"/>
    <col min="9" max="9" width="12" customWidth="1"/>
  </cols>
  <sheetData>
    <row r="3" spans="1:6" x14ac:dyDescent="0.25">
      <c r="A3" t="s">
        <v>1042</v>
      </c>
      <c r="B3" t="s">
        <v>1043</v>
      </c>
      <c r="C3" t="s">
        <v>1044</v>
      </c>
      <c r="D3" t="s">
        <v>1045</v>
      </c>
      <c r="E3" t="s">
        <v>1046</v>
      </c>
    </row>
    <row r="4" spans="1:6" x14ac:dyDescent="0.25">
      <c r="A4" s="21">
        <v>1000</v>
      </c>
      <c r="B4" s="22">
        <v>96623</v>
      </c>
      <c r="C4" s="21">
        <v>89850</v>
      </c>
      <c r="D4" s="23">
        <v>3.8854000000000033</v>
      </c>
      <c r="E4" s="24">
        <v>307</v>
      </c>
    </row>
    <row r="8" spans="1:6" x14ac:dyDescent="0.25">
      <c r="A8" t="s">
        <v>1042</v>
      </c>
      <c r="B8" t="s">
        <v>1043</v>
      </c>
      <c r="C8" t="s">
        <v>1044</v>
      </c>
      <c r="D8" t="s">
        <v>1045</v>
      </c>
      <c r="E8" t="s">
        <v>1046</v>
      </c>
    </row>
    <row r="9" spans="1:6" x14ac:dyDescent="0.25">
      <c r="A9" s="21">
        <v>189</v>
      </c>
      <c r="B9" s="22">
        <v>18415</v>
      </c>
      <c r="C9" s="21">
        <v>16834</v>
      </c>
      <c r="D9" s="23">
        <v>3.9227513227513247</v>
      </c>
      <c r="E9" s="24">
        <v>60</v>
      </c>
    </row>
    <row r="13" spans="1:6" x14ac:dyDescent="0.25">
      <c r="A13" s="25" t="s">
        <v>1047</v>
      </c>
      <c r="B13" t="s">
        <v>1042</v>
      </c>
      <c r="C13" t="s">
        <v>1061</v>
      </c>
      <c r="E13" s="25" t="s">
        <v>1047</v>
      </c>
      <c r="F13" t="s">
        <v>1042</v>
      </c>
    </row>
    <row r="14" spans="1:6" x14ac:dyDescent="0.25">
      <c r="A14" s="26" t="s">
        <v>1049</v>
      </c>
      <c r="B14" s="21">
        <v>16</v>
      </c>
      <c r="C14" s="21">
        <v>16</v>
      </c>
      <c r="E14" s="26" t="s">
        <v>1064</v>
      </c>
      <c r="F14" s="21">
        <v>40</v>
      </c>
    </row>
    <row r="15" spans="1:6" x14ac:dyDescent="0.25">
      <c r="A15" s="26" t="s">
        <v>1050</v>
      </c>
      <c r="B15" s="21">
        <v>14</v>
      </c>
      <c r="C15" s="21">
        <v>14</v>
      </c>
      <c r="E15" s="26" t="s">
        <v>1062</v>
      </c>
      <c r="F15" s="21">
        <v>24</v>
      </c>
    </row>
    <row r="16" spans="1:6" x14ac:dyDescent="0.25">
      <c r="A16" s="26" t="s">
        <v>1051</v>
      </c>
      <c r="B16" s="21">
        <v>26</v>
      </c>
      <c r="C16" s="21">
        <v>26</v>
      </c>
      <c r="E16" s="26" t="s">
        <v>1066</v>
      </c>
      <c r="F16" s="21">
        <v>23</v>
      </c>
    </row>
    <row r="17" spans="1:9" x14ac:dyDescent="0.25">
      <c r="A17" s="26" t="s">
        <v>1052</v>
      </c>
      <c r="B17" s="21">
        <v>29</v>
      </c>
      <c r="C17" s="21">
        <v>29</v>
      </c>
      <c r="E17" s="26" t="s">
        <v>1068</v>
      </c>
      <c r="F17" s="21">
        <v>23</v>
      </c>
    </row>
    <row r="18" spans="1:9" x14ac:dyDescent="0.25">
      <c r="A18" s="26" t="s">
        <v>1053</v>
      </c>
      <c r="B18" s="21">
        <v>17</v>
      </c>
      <c r="C18" s="21">
        <v>17</v>
      </c>
      <c r="E18" s="26" t="s">
        <v>1067</v>
      </c>
      <c r="F18" s="21">
        <v>13</v>
      </c>
    </row>
    <row r="19" spans="1:9" x14ac:dyDescent="0.25">
      <c r="A19" s="26" t="s">
        <v>1054</v>
      </c>
      <c r="B19" s="21">
        <v>15</v>
      </c>
      <c r="C19" s="21">
        <v>15</v>
      </c>
      <c r="E19" s="26" t="s">
        <v>1063</v>
      </c>
      <c r="F19" s="21">
        <v>30</v>
      </c>
    </row>
    <row r="20" spans="1:9" x14ac:dyDescent="0.25">
      <c r="A20" s="26" t="s">
        <v>1055</v>
      </c>
      <c r="B20" s="21">
        <v>15</v>
      </c>
      <c r="C20" s="21">
        <v>15</v>
      </c>
      <c r="E20" s="26" t="s">
        <v>1065</v>
      </c>
      <c r="F20" s="21">
        <v>36</v>
      </c>
    </row>
    <row r="21" spans="1:9" x14ac:dyDescent="0.25">
      <c r="A21" s="26" t="s">
        <v>1056</v>
      </c>
      <c r="B21" s="21">
        <v>7</v>
      </c>
      <c r="C21" s="21">
        <v>7</v>
      </c>
      <c r="E21" s="26" t="s">
        <v>1048</v>
      </c>
      <c r="F21" s="21">
        <v>189</v>
      </c>
    </row>
    <row r="22" spans="1:9" x14ac:dyDescent="0.25">
      <c r="A22" s="26" t="s">
        <v>1057</v>
      </c>
      <c r="B22" s="21">
        <v>11</v>
      </c>
      <c r="C22" s="21">
        <v>11</v>
      </c>
    </row>
    <row r="23" spans="1:9" x14ac:dyDescent="0.25">
      <c r="A23" s="26" t="s">
        <v>1058</v>
      </c>
      <c r="B23" s="21">
        <v>24</v>
      </c>
      <c r="C23" s="21">
        <v>24</v>
      </c>
    </row>
    <row r="24" spans="1:9" x14ac:dyDescent="0.25">
      <c r="A24" s="26" t="s">
        <v>1059</v>
      </c>
      <c r="B24" s="21">
        <v>9</v>
      </c>
      <c r="C24" s="21">
        <v>9</v>
      </c>
    </row>
    <row r="25" spans="1:9" x14ac:dyDescent="0.25">
      <c r="A25" s="26" t="s">
        <v>1060</v>
      </c>
      <c r="B25" s="21">
        <v>6</v>
      </c>
      <c r="C25" s="21">
        <v>6</v>
      </c>
    </row>
    <row r="26" spans="1:9" x14ac:dyDescent="0.25">
      <c r="A26" s="26" t="s">
        <v>1048</v>
      </c>
      <c r="B26" s="21">
        <v>189</v>
      </c>
      <c r="C26" s="21">
        <v>189</v>
      </c>
    </row>
    <row r="27" spans="1:9" x14ac:dyDescent="0.25">
      <c r="E27" t="s">
        <v>1072</v>
      </c>
      <c r="H27" t="s">
        <v>1073</v>
      </c>
      <c r="I27" t="str">
        <f>A37</f>
        <v>R01</v>
      </c>
    </row>
    <row r="29" spans="1:9" x14ac:dyDescent="0.25">
      <c r="A29" s="25" t="s">
        <v>1047</v>
      </c>
      <c r="B29" t="s">
        <v>1042</v>
      </c>
      <c r="C29" t="s">
        <v>1043</v>
      </c>
      <c r="E29" t="s">
        <v>1069</v>
      </c>
      <c r="F29" t="s">
        <v>1070</v>
      </c>
      <c r="G29" t="s">
        <v>1071</v>
      </c>
      <c r="H29" t="s">
        <v>1074</v>
      </c>
      <c r="I29" t="s">
        <v>1075</v>
      </c>
    </row>
    <row r="30" spans="1:9" x14ac:dyDescent="0.25">
      <c r="A30" s="26" t="s">
        <v>11</v>
      </c>
      <c r="B30" s="21">
        <v>189</v>
      </c>
      <c r="C30" s="22">
        <v>18415</v>
      </c>
      <c r="E30" t="str" cm="1">
        <f t="array" ref="E30:G34">A30:C34</f>
        <v>R01</v>
      </c>
      <c r="F30">
        <v>189</v>
      </c>
      <c r="G30" s="27">
        <v>18415</v>
      </c>
      <c r="H30">
        <f>IF(E30=$I$27,F30,NA())</f>
        <v>189</v>
      </c>
      <c r="I30">
        <f>IF(E30=$I$27,G30,NA())</f>
        <v>18415</v>
      </c>
    </row>
    <row r="31" spans="1:9" x14ac:dyDescent="0.25">
      <c r="A31" s="26" t="s">
        <v>9</v>
      </c>
      <c r="B31" s="21">
        <v>218</v>
      </c>
      <c r="C31" s="22">
        <v>20581</v>
      </c>
      <c r="E31" t="str">
        <v>R02</v>
      </c>
      <c r="F31">
        <v>218</v>
      </c>
      <c r="G31" s="27">
        <v>20581</v>
      </c>
      <c r="H31" t="e">
        <f t="shared" ref="H31:H34" si="0">IF(E31=$I$27,F31,NA())</f>
        <v>#N/A</v>
      </c>
      <c r="I31" t="e">
        <f t="shared" ref="I31:I34" si="1">IF(E31=$I$27,G31,NA())</f>
        <v>#N/A</v>
      </c>
    </row>
    <row r="32" spans="1:9" x14ac:dyDescent="0.25">
      <c r="A32" s="26" t="s">
        <v>6</v>
      </c>
      <c r="B32" s="21">
        <v>207</v>
      </c>
      <c r="C32" s="22">
        <v>20872</v>
      </c>
      <c r="E32" t="str">
        <v>R03</v>
      </c>
      <c r="F32">
        <v>207</v>
      </c>
      <c r="G32" s="27">
        <v>20872</v>
      </c>
      <c r="H32" t="e">
        <f t="shared" si="0"/>
        <v>#N/A</v>
      </c>
      <c r="I32" t="e">
        <f t="shared" si="1"/>
        <v>#N/A</v>
      </c>
    </row>
    <row r="33" spans="1:9" x14ac:dyDescent="0.25">
      <c r="A33" s="26" t="s">
        <v>13</v>
      </c>
      <c r="B33" s="21">
        <v>186</v>
      </c>
      <c r="C33" s="22">
        <v>16651</v>
      </c>
      <c r="E33" t="str">
        <v>R04</v>
      </c>
      <c r="F33">
        <v>186</v>
      </c>
      <c r="G33" s="27">
        <v>16651</v>
      </c>
      <c r="H33" t="e">
        <f t="shared" si="0"/>
        <v>#N/A</v>
      </c>
      <c r="I33" t="e">
        <f t="shared" si="1"/>
        <v>#N/A</v>
      </c>
    </row>
    <row r="34" spans="1:9" x14ac:dyDescent="0.25">
      <c r="A34" s="26" t="s">
        <v>10</v>
      </c>
      <c r="B34" s="21">
        <v>200</v>
      </c>
      <c r="C34" s="22">
        <v>20104</v>
      </c>
      <c r="E34" t="str">
        <v>R05</v>
      </c>
      <c r="F34">
        <v>200</v>
      </c>
      <c r="G34" s="27">
        <v>20104</v>
      </c>
      <c r="H34" t="e">
        <f t="shared" si="0"/>
        <v>#N/A</v>
      </c>
      <c r="I34" t="e">
        <f t="shared" si="1"/>
        <v>#N/A</v>
      </c>
    </row>
    <row r="35" spans="1:9" x14ac:dyDescent="0.25">
      <c r="A35" s="26" t="s">
        <v>1048</v>
      </c>
      <c r="B35" s="21">
        <v>1000</v>
      </c>
      <c r="C35" s="22">
        <v>96623</v>
      </c>
    </row>
    <row r="36" spans="1:9" x14ac:dyDescent="0.25">
      <c r="A36" s="25" t="s">
        <v>1047</v>
      </c>
      <c r="E36" s="14" t="s">
        <v>1079</v>
      </c>
      <c r="H36" s="14" t="s">
        <v>1083</v>
      </c>
    </row>
    <row r="37" spans="1:9" x14ac:dyDescent="0.25">
      <c r="A37" s="28" t="s">
        <v>11</v>
      </c>
      <c r="E37" t="s">
        <v>1080</v>
      </c>
      <c r="F37" s="40">
        <f>A9/A4</f>
        <v>0.189</v>
      </c>
      <c r="H37" t="str">
        <f>"% of calls: "&amp;TEXT(F37,"0%")</f>
        <v>% of calls: 19%</v>
      </c>
    </row>
    <row r="38" spans="1:9" x14ac:dyDescent="0.25">
      <c r="E38" t="s">
        <v>1070</v>
      </c>
      <c r="F38">
        <f>_xlfn.XLOOKUP(A37,E30:E34,F30:F34,,0)</f>
        <v>189</v>
      </c>
      <c r="H38" t="str">
        <f>IF(COUNTA(A37:A41)&gt;1,"","Call Rank: "&amp;F41)</f>
        <v>Call Rank: 4</v>
      </c>
    </row>
    <row r="39" spans="1:9" x14ac:dyDescent="0.25">
      <c r="E39" t="s">
        <v>1071</v>
      </c>
      <c r="F39">
        <f>_xlfn.XLOOKUP(A37,E30:E34,G30:G34,,0)</f>
        <v>18415</v>
      </c>
      <c r="H39" t="str">
        <f>IF(COUNTA(A37:A41)&gt;1,"","Amount Rank: "&amp;F42)</f>
        <v>Amount Rank: 4</v>
      </c>
    </row>
    <row r="40" spans="1:9" x14ac:dyDescent="0.25">
      <c r="H40" t="e" vm="1">
        <f>IF(COUNTA(A37:A41)&gt;1,"",_xlfn.XLOOKUP(A37,Assets!E3:E7,Assets!F3:F7))</f>
        <v>#VALUE!</v>
      </c>
    </row>
    <row r="41" spans="1:9" x14ac:dyDescent="0.25">
      <c r="E41" t="s">
        <v>1081</v>
      </c>
      <c r="F41">
        <f>_xlfn.RANK.AVG(F38,F30:F34)</f>
        <v>4</v>
      </c>
    </row>
    <row r="42" spans="1:9" x14ac:dyDescent="0.25">
      <c r="A42" s="25" t="s">
        <v>1077</v>
      </c>
      <c r="B42" s="25" t="s">
        <v>1076</v>
      </c>
      <c r="E42" t="s">
        <v>1082</v>
      </c>
      <c r="F42">
        <f>_xlfn.RANK.AVG(F39,G30:G34)</f>
        <v>4</v>
      </c>
    </row>
    <row r="43" spans="1:9" x14ac:dyDescent="0.25">
      <c r="A43" s="25" t="s">
        <v>1047</v>
      </c>
      <c r="B43" t="s">
        <v>999</v>
      </c>
      <c r="C43" t="s">
        <v>998</v>
      </c>
      <c r="D43" t="s">
        <v>1048</v>
      </c>
    </row>
    <row r="44" spans="1:9" x14ac:dyDescent="0.25">
      <c r="A44" s="26" t="s">
        <v>1002</v>
      </c>
      <c r="B44">
        <v>144</v>
      </c>
      <c r="C44">
        <v>132</v>
      </c>
      <c r="D44">
        <v>276</v>
      </c>
    </row>
    <row r="45" spans="1:9" x14ac:dyDescent="0.25">
      <c r="A45" s="26" t="s">
        <v>1001</v>
      </c>
      <c r="B45">
        <v>326</v>
      </c>
      <c r="C45">
        <v>63</v>
      </c>
      <c r="D45">
        <v>389</v>
      </c>
    </row>
    <row r="46" spans="1:9" x14ac:dyDescent="0.25">
      <c r="A46" s="26" t="s">
        <v>1000</v>
      </c>
      <c r="B46">
        <v>129</v>
      </c>
      <c r="C46">
        <v>206</v>
      </c>
      <c r="D46">
        <v>335</v>
      </c>
    </row>
    <row r="47" spans="1:9" x14ac:dyDescent="0.25">
      <c r="A47" s="26" t="s">
        <v>1048</v>
      </c>
      <c r="B47">
        <v>599</v>
      </c>
      <c r="C47">
        <v>401</v>
      </c>
      <c r="D47">
        <v>1000</v>
      </c>
    </row>
    <row r="51" spans="1:7" x14ac:dyDescent="0.25">
      <c r="A51" s="25" t="s">
        <v>1047</v>
      </c>
      <c r="B51" t="s">
        <v>1077</v>
      </c>
    </row>
    <row r="52" spans="1:7" x14ac:dyDescent="0.25">
      <c r="A52" s="26">
        <v>1</v>
      </c>
      <c r="B52">
        <v>1</v>
      </c>
    </row>
    <row r="53" spans="1:7" x14ac:dyDescent="0.25">
      <c r="A53" s="26">
        <v>2</v>
      </c>
      <c r="B53">
        <v>9</v>
      </c>
    </row>
    <row r="54" spans="1:7" x14ac:dyDescent="0.25">
      <c r="A54" s="26">
        <v>3</v>
      </c>
      <c r="B54">
        <v>31</v>
      </c>
    </row>
    <row r="55" spans="1:7" x14ac:dyDescent="0.25">
      <c r="A55" s="26">
        <v>4</v>
      </c>
      <c r="B55">
        <v>88</v>
      </c>
    </row>
    <row r="56" spans="1:7" x14ac:dyDescent="0.25">
      <c r="A56" s="26">
        <v>5</v>
      </c>
      <c r="B56">
        <v>60</v>
      </c>
    </row>
    <row r="57" spans="1:7" x14ac:dyDescent="0.25">
      <c r="A57" s="26" t="s">
        <v>1048</v>
      </c>
      <c r="B57">
        <v>189</v>
      </c>
    </row>
    <row r="59" spans="1:7" x14ac:dyDescent="0.25">
      <c r="A59" s="25" t="s">
        <v>1043</v>
      </c>
      <c r="B59" s="25" t="s">
        <v>1076</v>
      </c>
    </row>
    <row r="60" spans="1:7" x14ac:dyDescent="0.25">
      <c r="A60" s="25" t="s">
        <v>1047</v>
      </c>
      <c r="B60" t="s">
        <v>11</v>
      </c>
      <c r="C60" t="s">
        <v>9</v>
      </c>
      <c r="D60" t="s">
        <v>6</v>
      </c>
      <c r="E60" t="s">
        <v>13</v>
      </c>
      <c r="F60" t="s">
        <v>10</v>
      </c>
      <c r="G60" t="s">
        <v>1048</v>
      </c>
    </row>
    <row r="61" spans="1:7" x14ac:dyDescent="0.25">
      <c r="A61" s="26" t="s">
        <v>1002</v>
      </c>
    </row>
    <row r="62" spans="1:7" x14ac:dyDescent="0.25">
      <c r="A62" s="29" t="s">
        <v>20</v>
      </c>
      <c r="B62" s="22">
        <v>891</v>
      </c>
      <c r="C62" s="22">
        <v>1332</v>
      </c>
      <c r="D62" s="22">
        <v>1282</v>
      </c>
      <c r="E62" s="22">
        <v>739</v>
      </c>
      <c r="F62" s="22">
        <v>560</v>
      </c>
      <c r="G62" s="22">
        <v>4804</v>
      </c>
    </row>
    <row r="63" spans="1:7" x14ac:dyDescent="0.25">
      <c r="A63" s="29" t="s">
        <v>12</v>
      </c>
      <c r="B63" s="22">
        <v>1991</v>
      </c>
      <c r="C63" s="22">
        <v>1886</v>
      </c>
      <c r="D63" s="22">
        <v>1206</v>
      </c>
      <c r="E63" s="22">
        <v>884</v>
      </c>
      <c r="F63" s="22">
        <v>1722</v>
      </c>
      <c r="G63" s="22">
        <v>7689</v>
      </c>
    </row>
    <row r="64" spans="1:7" x14ac:dyDescent="0.25">
      <c r="A64" s="29" t="s">
        <v>8</v>
      </c>
      <c r="B64" s="22">
        <v>1163</v>
      </c>
      <c r="C64" s="22">
        <v>1180</v>
      </c>
      <c r="D64" s="22">
        <v>1616</v>
      </c>
      <c r="E64" s="22">
        <v>1043</v>
      </c>
      <c r="F64" s="22">
        <v>1747</v>
      </c>
      <c r="G64" s="22">
        <v>6749</v>
      </c>
    </row>
    <row r="65" spans="1:7" x14ac:dyDescent="0.25">
      <c r="A65" s="29" t="s">
        <v>16</v>
      </c>
      <c r="B65" s="22">
        <v>1438</v>
      </c>
      <c r="C65" s="22">
        <v>1616</v>
      </c>
      <c r="D65" s="22">
        <v>866</v>
      </c>
      <c r="E65" s="22">
        <v>829</v>
      </c>
      <c r="F65" s="22">
        <v>2070</v>
      </c>
      <c r="G65" s="22">
        <v>6819</v>
      </c>
    </row>
    <row r="66" spans="1:7" x14ac:dyDescent="0.25">
      <c r="A66" s="26" t="s">
        <v>1001</v>
      </c>
    </row>
    <row r="67" spans="1:7" x14ac:dyDescent="0.25">
      <c r="A67" s="29" t="s">
        <v>24</v>
      </c>
      <c r="B67" s="22">
        <v>1233</v>
      </c>
      <c r="C67" s="22">
        <v>223</v>
      </c>
      <c r="D67" s="22">
        <v>1680</v>
      </c>
      <c r="E67" s="22">
        <v>990</v>
      </c>
      <c r="F67" s="22">
        <v>1508</v>
      </c>
      <c r="G67" s="22">
        <v>5634</v>
      </c>
    </row>
    <row r="68" spans="1:7" x14ac:dyDescent="0.25">
      <c r="A68" s="29" t="s">
        <v>15</v>
      </c>
      <c r="B68" s="22">
        <v>1598</v>
      </c>
      <c r="C68" s="22">
        <v>1907</v>
      </c>
      <c r="D68" s="22">
        <v>869</v>
      </c>
      <c r="E68" s="22">
        <v>1426</v>
      </c>
      <c r="F68" s="22">
        <v>1416</v>
      </c>
      <c r="G68" s="22">
        <v>7216</v>
      </c>
    </row>
    <row r="69" spans="1:7" x14ac:dyDescent="0.25">
      <c r="A69" s="29" t="s">
        <v>5</v>
      </c>
      <c r="B69" s="22">
        <v>900</v>
      </c>
      <c r="C69" s="22">
        <v>1016</v>
      </c>
      <c r="D69" s="22">
        <v>960</v>
      </c>
      <c r="E69" s="22">
        <v>940</v>
      </c>
      <c r="F69" s="22">
        <v>1193</v>
      </c>
      <c r="G69" s="22">
        <v>5009</v>
      </c>
    </row>
    <row r="70" spans="1:7" x14ac:dyDescent="0.25">
      <c r="A70" s="29" t="s">
        <v>18</v>
      </c>
      <c r="B70" s="22">
        <v>900</v>
      </c>
      <c r="C70" s="22">
        <v>1470</v>
      </c>
      <c r="D70" s="22">
        <v>1617</v>
      </c>
      <c r="E70" s="22">
        <v>1314</v>
      </c>
      <c r="F70" s="22">
        <v>941</v>
      </c>
      <c r="G70" s="22">
        <v>6242</v>
      </c>
    </row>
    <row r="71" spans="1:7" x14ac:dyDescent="0.25">
      <c r="A71" s="29" t="s">
        <v>14</v>
      </c>
      <c r="B71" s="22">
        <v>1255</v>
      </c>
      <c r="C71" s="22">
        <v>516</v>
      </c>
      <c r="D71" s="22">
        <v>1874</v>
      </c>
      <c r="E71" s="22">
        <v>1863</v>
      </c>
      <c r="F71" s="22">
        <v>1722</v>
      </c>
      <c r="G71" s="22">
        <v>7230</v>
      </c>
    </row>
    <row r="72" spans="1:7" x14ac:dyDescent="0.25">
      <c r="A72" s="29" t="s">
        <v>19</v>
      </c>
      <c r="B72" s="22">
        <v>1138</v>
      </c>
      <c r="C72" s="22">
        <v>1898</v>
      </c>
      <c r="D72" s="22">
        <v>1482</v>
      </c>
      <c r="E72" s="22">
        <v>846</v>
      </c>
      <c r="F72" s="22">
        <v>1154</v>
      </c>
      <c r="G72" s="22">
        <v>6518</v>
      </c>
    </row>
    <row r="73" spans="1:7" x14ac:dyDescent="0.25">
      <c r="A73" s="26" t="s">
        <v>1000</v>
      </c>
    </row>
    <row r="74" spans="1:7" x14ac:dyDescent="0.25">
      <c r="A74" s="29" t="s">
        <v>17</v>
      </c>
      <c r="B74" s="22">
        <v>1655</v>
      </c>
      <c r="C74" s="22">
        <v>805</v>
      </c>
      <c r="D74" s="22">
        <v>2263</v>
      </c>
      <c r="E74" s="22">
        <v>987</v>
      </c>
      <c r="F74" s="22">
        <v>1075</v>
      </c>
      <c r="G74" s="22">
        <v>6785</v>
      </c>
    </row>
    <row r="75" spans="1:7" x14ac:dyDescent="0.25">
      <c r="A75" s="29" t="s">
        <v>23</v>
      </c>
      <c r="B75" s="22">
        <v>1104</v>
      </c>
      <c r="C75" s="22">
        <v>2280</v>
      </c>
      <c r="D75" s="22">
        <v>1445</v>
      </c>
      <c r="E75" s="22">
        <v>1722</v>
      </c>
      <c r="F75" s="22">
        <v>1196</v>
      </c>
      <c r="G75" s="22">
        <v>7747</v>
      </c>
    </row>
    <row r="76" spans="1:7" x14ac:dyDescent="0.25">
      <c r="A76" s="29" t="s">
        <v>7</v>
      </c>
      <c r="B76" s="22">
        <v>372</v>
      </c>
      <c r="C76" s="22">
        <v>1818</v>
      </c>
      <c r="D76" s="22">
        <v>1346</v>
      </c>
      <c r="E76" s="22">
        <v>1156</v>
      </c>
      <c r="F76" s="22">
        <v>1484</v>
      </c>
      <c r="G76" s="22">
        <v>6176</v>
      </c>
    </row>
    <row r="77" spans="1:7" x14ac:dyDescent="0.25">
      <c r="A77" s="29" t="s">
        <v>22</v>
      </c>
      <c r="B77" s="22">
        <v>1415</v>
      </c>
      <c r="C77" s="22">
        <v>1271</v>
      </c>
      <c r="D77" s="22">
        <v>1214</v>
      </c>
      <c r="E77" s="22">
        <v>1135</v>
      </c>
      <c r="F77" s="22">
        <v>1566</v>
      </c>
      <c r="G77" s="22">
        <v>6601</v>
      </c>
    </row>
    <row r="78" spans="1:7" x14ac:dyDescent="0.25">
      <c r="A78" s="29" t="s">
        <v>21</v>
      </c>
      <c r="B78" s="22">
        <v>1362</v>
      </c>
      <c r="C78" s="22">
        <v>1363</v>
      </c>
      <c r="D78" s="22">
        <v>1152</v>
      </c>
      <c r="E78" s="22">
        <v>777</v>
      </c>
      <c r="F78" s="22">
        <v>750</v>
      </c>
      <c r="G78" s="2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C4E6-3F1A-4E0E-A6E3-6E80732D9167}">
  <dimension ref="C2:W36"/>
  <sheetViews>
    <sheetView topLeftCell="A12" zoomScale="80" zoomScaleNormal="80" workbookViewId="0">
      <selection activeCell="Y34" sqref="Y34"/>
    </sheetView>
  </sheetViews>
  <sheetFormatPr defaultRowHeight="15" x14ac:dyDescent="0.25"/>
  <cols>
    <col min="1" max="1" width="1.625" style="20" customWidth="1"/>
    <col min="2" max="2" width="2.125" style="20" customWidth="1"/>
    <col min="3" max="4" width="9" style="20"/>
    <col min="5" max="5" width="2.125" style="20" customWidth="1"/>
    <col min="6" max="14" width="9" style="20"/>
    <col min="15" max="15" width="9" style="20" customWidth="1"/>
    <col min="16" max="16" width="4.5" style="20" customWidth="1"/>
    <col min="17" max="17" width="14.25" style="20" customWidth="1"/>
    <col min="18" max="21" width="9" style="20"/>
    <col min="22" max="22" width="9" style="20" customWidth="1"/>
    <col min="23" max="23" width="10.875" style="20" customWidth="1"/>
    <col min="24" max="16384" width="9" style="20"/>
  </cols>
  <sheetData>
    <row r="2" spans="3:3" ht="35.25" customHeight="1" x14ac:dyDescent="0.55000000000000004">
      <c r="C2" s="41" t="s">
        <v>1084</v>
      </c>
    </row>
    <row r="18" spans="14:23" x14ac:dyDescent="0.25">
      <c r="Q18" s="30"/>
      <c r="R18" s="37" t="str" cm="1">
        <f t="array" ref="R18:V18">Pivots!B60:F60</f>
        <v>R01</v>
      </c>
      <c r="S18" s="37" t="str">
        <v>R02</v>
      </c>
      <c r="T18" s="37" t="str">
        <v>R03</v>
      </c>
      <c r="U18" s="37" t="str">
        <v>R04</v>
      </c>
      <c r="V18" s="37" t="str">
        <v>R05</v>
      </c>
      <c r="W18" s="38" t="s">
        <v>1078</v>
      </c>
    </row>
    <row r="19" spans="14:23" x14ac:dyDescent="0.25">
      <c r="Q19" s="39" t="str" cm="1">
        <f t="array" ref="Q19:W36">IF(Pivots!A61:G78 = "","",Pivots!A61:G78)</f>
        <v>Cincinnati</v>
      </c>
      <c r="R19" s="31" t="str">
        <v/>
      </c>
      <c r="S19" s="31" t="str">
        <v/>
      </c>
      <c r="T19" s="31" t="str">
        <v/>
      </c>
      <c r="U19" s="31" t="str">
        <v/>
      </c>
      <c r="V19" s="31" t="str">
        <v/>
      </c>
      <c r="W19" s="32" t="str">
        <v/>
      </c>
    </row>
    <row r="20" spans="14:23" x14ac:dyDescent="0.25">
      <c r="Q20" s="33" t="str">
        <v>C0003</v>
      </c>
      <c r="R20" s="31">
        <v>891</v>
      </c>
      <c r="S20" s="31">
        <v>1332</v>
      </c>
      <c r="T20" s="31">
        <v>1282</v>
      </c>
      <c r="U20" s="31">
        <v>739</v>
      </c>
      <c r="V20" s="31">
        <v>560</v>
      </c>
      <c r="W20" s="32">
        <v>4804</v>
      </c>
    </row>
    <row r="21" spans="14:23" x14ac:dyDescent="0.25">
      <c r="Q21" s="33" t="str">
        <v>C0004</v>
      </c>
      <c r="R21" s="31">
        <v>1991</v>
      </c>
      <c r="S21" s="31">
        <v>1886</v>
      </c>
      <c r="T21" s="31">
        <v>1206</v>
      </c>
      <c r="U21" s="31">
        <v>884</v>
      </c>
      <c r="V21" s="31">
        <v>1722</v>
      </c>
      <c r="W21" s="32">
        <v>7689</v>
      </c>
    </row>
    <row r="22" spans="14:23" x14ac:dyDescent="0.25">
      <c r="Q22" s="33" t="str">
        <v>C0011</v>
      </c>
      <c r="R22" s="31">
        <v>1163</v>
      </c>
      <c r="S22" s="31">
        <v>1180</v>
      </c>
      <c r="T22" s="31">
        <v>1616</v>
      </c>
      <c r="U22" s="31">
        <v>1043</v>
      </c>
      <c r="V22" s="31">
        <v>1747</v>
      </c>
      <c r="W22" s="32">
        <v>6749</v>
      </c>
    </row>
    <row r="23" spans="14:23" x14ac:dyDescent="0.25">
      <c r="Q23" s="33" t="str">
        <v>C0012</v>
      </c>
      <c r="R23" s="31">
        <v>1438</v>
      </c>
      <c r="S23" s="31">
        <v>1616</v>
      </c>
      <c r="T23" s="31">
        <v>866</v>
      </c>
      <c r="U23" s="31">
        <v>829</v>
      </c>
      <c r="V23" s="31">
        <v>2070</v>
      </c>
      <c r="W23" s="32">
        <v>6819</v>
      </c>
    </row>
    <row r="24" spans="14:23" x14ac:dyDescent="0.25">
      <c r="Q24" s="39" t="str">
        <v>Cleveland</v>
      </c>
      <c r="R24" s="31" t="str">
        <v/>
      </c>
      <c r="S24" s="31" t="str">
        <v/>
      </c>
      <c r="T24" s="31" t="str">
        <v/>
      </c>
      <c r="U24" s="31" t="str">
        <v/>
      </c>
      <c r="V24" s="31" t="str">
        <v/>
      </c>
      <c r="W24" s="32" t="str">
        <v/>
      </c>
    </row>
    <row r="25" spans="14:23" x14ac:dyDescent="0.25">
      <c r="Q25" s="33" t="str">
        <v>C0002</v>
      </c>
      <c r="R25" s="31">
        <v>1233</v>
      </c>
      <c r="S25" s="31">
        <v>223</v>
      </c>
      <c r="T25" s="31">
        <v>1680</v>
      </c>
      <c r="U25" s="31">
        <v>990</v>
      </c>
      <c r="V25" s="31">
        <v>1508</v>
      </c>
      <c r="W25" s="32">
        <v>5634</v>
      </c>
    </row>
    <row r="26" spans="14:23" x14ac:dyDescent="0.25">
      <c r="Q26" s="33" t="str">
        <v>C0007</v>
      </c>
      <c r="R26" s="31">
        <v>1598</v>
      </c>
      <c r="S26" s="31">
        <v>1907</v>
      </c>
      <c r="T26" s="31">
        <v>869</v>
      </c>
      <c r="U26" s="31">
        <v>1426</v>
      </c>
      <c r="V26" s="31">
        <v>1416</v>
      </c>
      <c r="W26" s="32">
        <v>7216</v>
      </c>
    </row>
    <row r="27" spans="14:23" x14ac:dyDescent="0.25">
      <c r="Q27" s="33" t="str">
        <v>C0008</v>
      </c>
      <c r="R27" s="31">
        <v>900</v>
      </c>
      <c r="S27" s="31">
        <v>1016</v>
      </c>
      <c r="T27" s="31">
        <v>960</v>
      </c>
      <c r="U27" s="31">
        <v>940</v>
      </c>
      <c r="V27" s="31">
        <v>1193</v>
      </c>
      <c r="W27" s="32">
        <v>5009</v>
      </c>
    </row>
    <row r="28" spans="14:23" x14ac:dyDescent="0.25">
      <c r="Q28" s="33" t="str">
        <v>C0010</v>
      </c>
      <c r="R28" s="31">
        <v>900</v>
      </c>
      <c r="S28" s="31">
        <v>1470</v>
      </c>
      <c r="T28" s="31">
        <v>1617</v>
      </c>
      <c r="U28" s="31">
        <v>1314</v>
      </c>
      <c r="V28" s="31">
        <v>941</v>
      </c>
      <c r="W28" s="32">
        <v>6242</v>
      </c>
    </row>
    <row r="29" spans="14:23" x14ac:dyDescent="0.25">
      <c r="N29" s="42" t="e" vm="1">
        <f>Pivots!H40</f>
        <v>#VALUE!</v>
      </c>
      <c r="O29" s="42"/>
      <c r="Q29" s="33" t="str">
        <v>C0013</v>
      </c>
      <c r="R29" s="31">
        <v>1255</v>
      </c>
      <c r="S29" s="31">
        <v>516</v>
      </c>
      <c r="T29" s="31">
        <v>1874</v>
      </c>
      <c r="U29" s="31">
        <v>1863</v>
      </c>
      <c r="V29" s="31">
        <v>1722</v>
      </c>
      <c r="W29" s="32">
        <v>7230</v>
      </c>
    </row>
    <row r="30" spans="14:23" x14ac:dyDescent="0.25">
      <c r="N30" s="42"/>
      <c r="O30" s="42"/>
      <c r="Q30" s="33" t="str">
        <v>C0015</v>
      </c>
      <c r="R30" s="31">
        <v>1138</v>
      </c>
      <c r="S30" s="31">
        <v>1898</v>
      </c>
      <c r="T30" s="31">
        <v>1482</v>
      </c>
      <c r="U30" s="31">
        <v>846</v>
      </c>
      <c r="V30" s="31">
        <v>1154</v>
      </c>
      <c r="W30" s="32">
        <v>6518</v>
      </c>
    </row>
    <row r="31" spans="14:23" x14ac:dyDescent="0.25">
      <c r="N31" s="42"/>
      <c r="O31" s="42"/>
      <c r="Q31" s="39" t="str">
        <v>Columbus</v>
      </c>
      <c r="R31" s="31" t="str">
        <v/>
      </c>
      <c r="S31" s="31" t="str">
        <v/>
      </c>
      <c r="T31" s="31" t="str">
        <v/>
      </c>
      <c r="U31" s="31" t="str">
        <v/>
      </c>
      <c r="V31" s="31" t="str">
        <v/>
      </c>
      <c r="W31" s="32" t="str">
        <v/>
      </c>
    </row>
    <row r="32" spans="14:23" x14ac:dyDescent="0.25">
      <c r="N32" s="42"/>
      <c r="O32" s="42"/>
      <c r="Q32" s="33" t="str">
        <v>C0001</v>
      </c>
      <c r="R32" s="31">
        <v>1655</v>
      </c>
      <c r="S32" s="31">
        <v>805</v>
      </c>
      <c r="T32" s="31">
        <v>2263</v>
      </c>
      <c r="U32" s="31">
        <v>987</v>
      </c>
      <c r="V32" s="31">
        <v>1075</v>
      </c>
      <c r="W32" s="32">
        <v>6785</v>
      </c>
    </row>
    <row r="33" spans="14:23" x14ac:dyDescent="0.25">
      <c r="N33" s="43" t="str">
        <f>Pivots!H37</f>
        <v>% of calls: 19%</v>
      </c>
      <c r="O33" s="43"/>
      <c r="Q33" s="33" t="str">
        <v>C0005</v>
      </c>
      <c r="R33" s="31">
        <v>1104</v>
      </c>
      <c r="S33" s="31">
        <v>2280</v>
      </c>
      <c r="T33" s="31">
        <v>1445</v>
      </c>
      <c r="U33" s="31">
        <v>1722</v>
      </c>
      <c r="V33" s="31">
        <v>1196</v>
      </c>
      <c r="W33" s="32">
        <v>7747</v>
      </c>
    </row>
    <row r="34" spans="14:23" x14ac:dyDescent="0.25">
      <c r="N34" s="43" t="str">
        <f>Pivots!H38</f>
        <v>Call Rank: 4</v>
      </c>
      <c r="O34" s="43"/>
      <c r="Q34" s="33" t="str">
        <v>C0006</v>
      </c>
      <c r="R34" s="31">
        <v>372</v>
      </c>
      <c r="S34" s="31">
        <v>1818</v>
      </c>
      <c r="T34" s="31">
        <v>1346</v>
      </c>
      <c r="U34" s="31">
        <v>1156</v>
      </c>
      <c r="V34" s="31">
        <v>1484</v>
      </c>
      <c r="W34" s="32">
        <v>6176</v>
      </c>
    </row>
    <row r="35" spans="14:23" x14ac:dyDescent="0.25">
      <c r="N35" s="43" t="str">
        <f>Pivots!H39</f>
        <v>Amount Rank: 4</v>
      </c>
      <c r="O35" s="43"/>
      <c r="Q35" s="33" t="str">
        <v>C0009</v>
      </c>
      <c r="R35" s="31">
        <v>1415</v>
      </c>
      <c r="S35" s="31">
        <v>1271</v>
      </c>
      <c r="T35" s="31">
        <v>1214</v>
      </c>
      <c r="U35" s="31">
        <v>1135</v>
      </c>
      <c r="V35" s="31">
        <v>1566</v>
      </c>
      <c r="W35" s="32">
        <v>6601</v>
      </c>
    </row>
    <row r="36" spans="14:23" x14ac:dyDescent="0.25">
      <c r="N36" s="42"/>
      <c r="O36" s="42"/>
      <c r="Q36" s="34" t="str">
        <v>C0014</v>
      </c>
      <c r="R36" s="35">
        <v>1362</v>
      </c>
      <c r="S36" s="35">
        <v>1363</v>
      </c>
      <c r="T36" s="35">
        <v>1152</v>
      </c>
      <c r="U36" s="35">
        <v>777</v>
      </c>
      <c r="V36" s="35">
        <v>750</v>
      </c>
      <c r="W36" s="36">
        <v>5404</v>
      </c>
    </row>
  </sheetData>
  <mergeCells count="5">
    <mergeCell ref="N29:O32"/>
    <mergeCell ref="N33:O33"/>
    <mergeCell ref="N34:O34"/>
    <mergeCell ref="N35:O35"/>
    <mergeCell ref="N36:O36"/>
  </mergeCells>
  <conditionalFormatting sqref="R20:V36">
    <cfRule type="dataBar" priority="2">
      <dataBar>
        <cfvo type="num" val="0"/>
        <cfvo type="formula" val="MAX($R$20:$V$36)*2"/>
        <color theme="1" tint="4.9989318521683403E-2"/>
      </dataBar>
      <extLst>
        <ext xmlns:x14="http://schemas.microsoft.com/office/spreadsheetml/2009/9/main" uri="{B025F937-C7B1-47D3-B67F-A62EFF666E3E}">
          <x14:id>{F126B75E-3F58-4F9E-86F7-95E96C796133}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C73AFFB4-55D2-4C0B-AEEA-17BEF6AFE64C}">
            <xm:f>R$18=Pivots!$A$37</xm:f>
            <x14:dxf>
              <fill>
                <patternFill>
                  <bgColor theme="8" tint="0.39994506668294322"/>
                </patternFill>
              </fill>
              <border>
                <left style="thin">
                  <color theme="1" tint="0.14996795556505021"/>
                </left>
                <right style="thin">
                  <color theme="1" tint="0.14996795556505021"/>
                </right>
                <vertical/>
                <horizontal/>
              </border>
            </x14:dxf>
          </x14:cfRule>
          <xm:sqref>R18:V36</xm:sqref>
        </x14:conditionalFormatting>
        <x14:conditionalFormatting xmlns:xm="http://schemas.microsoft.com/office/excel/2006/main">
          <x14:cfRule type="dataBar" id="{F126B75E-3F58-4F9E-86F7-95E96C796133}">
            <x14:dataBar minLength="0" maxLength="100" gradient="0">
              <x14:cfvo type="num">
                <xm:f>0</xm:f>
              </x14:cfvo>
              <x14:cfvo type="formula">
                <xm:f>MAX($R$20:$V$36)*2</xm:f>
              </x14:cfvo>
              <x14:negativeFillColor rgb="FFFF0000"/>
              <x14:axisColor rgb="FF000000"/>
            </x14:dataBar>
          </x14:cfRule>
          <xm:sqref>R20:V36</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abSelected="1" zoomScale="115" zoomScaleNormal="115" workbookViewId="0">
      <selection activeCell="H13" sqref="H13"/>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Ayomide Makanjuola</cp:lastModifiedBy>
  <dcterms:created xsi:type="dcterms:W3CDTF">2021-03-14T20:21:32Z</dcterms:created>
  <dcterms:modified xsi:type="dcterms:W3CDTF">2026-03-04T17:03:35Z</dcterms:modified>
</cp:coreProperties>
</file>